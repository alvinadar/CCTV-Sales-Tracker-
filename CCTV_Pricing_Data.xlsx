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color rgb="000000FF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5" fontId="3" fillId="3" borderId="1" pivotButton="0" quotePrefix="0" xfId="0"/>
    <xf numFmtId="165" fontId="2" fillId="3" borderId="1" pivotButton="0" quotePrefix="0" xfId="0"/>
    <xf numFmtId="164" fontId="2" fillId="3" borderId="1" pivotButton="0" quotePrefix="0" xfId="0"/>
    <xf numFmtId="0" fontId="3" fillId="3" borderId="1" pivotButton="0" quotePrefix="0" xfId="0"/>
    <xf numFmtId="0" fontId="2" fillId="0" borderId="1" pivotButton="0" quotePrefix="0" xfId="0"/>
    <xf numFmtId="165" fontId="3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2" customWidth="1" min="3" max="3"/>
    <col width="10" customWidth="1" min="4" max="4"/>
    <col width="13" customWidth="1" min="5" max="5"/>
    <col width="13" customWidth="1" min="6" max="6"/>
    <col width="10" customWidth="1" min="7" max="7"/>
    <col width="16" customWidth="1" min="8" max="8"/>
    <col width="14" customWidth="1" min="9" max="9"/>
    <col width="12" customWidth="1" min="10" max="10"/>
    <col width="16" customWidth="1" min="11" max="11"/>
    <col width="14" customWidth="1" min="12" max="12"/>
    <col width="20" customWidth="1" min="13" max="13"/>
    <col width="10" customWidth="1" min="14" max="14"/>
    <col width="20" customWidth="1" min="15" max="15"/>
    <col width="16" customWidth="1" min="16" max="16"/>
    <col width="14" customWidth="1" min="17" max="17"/>
    <col width="14" customWidth="1" min="18" max="18"/>
    <col width="14" customWidth="1" min="19" max="19"/>
    <col width="10" customWidth="1" min="20" max="20"/>
    <col width="16" customWidth="1" min="21" max="21"/>
    <col width="18" customWidth="1" min="22" max="22"/>
    <col width="18" customWidth="1" min="23" max="23"/>
    <col width="24" customWidth="1" min="24" max="24"/>
    <col width="16" customWidth="1" min="25" max="25"/>
    <col width="28" customWidth="1" min="26" max="26"/>
    <col width="18" customWidth="1" min="27" max="27"/>
    <col width="14" customWidth="1" min="28" max="28"/>
    <col width="12" customWidth="1" min="29" max="29"/>
    <col width="18" customWidth="1" min="30" max="30"/>
    <col width="16" customWidth="1" min="31" max="31"/>
    <col width="20" customWidth="1" min="32" max="32"/>
    <col width="16" customWidth="1" min="33" max="33"/>
    <col width="14" customWidth="1" min="34" max="34"/>
    <col width="18" customWidth="1" min="35" max="35"/>
    <col width="22" customWidth="1" min="36" max="36"/>
  </cols>
  <sheetData>
    <row r="1" ht="36" customHeight="1">
      <c r="A1" s="1" t="inlineStr">
        <is>
          <t>Product ID / SKU</t>
        </is>
      </c>
      <c r="B1" s="1" t="inlineStr">
        <is>
          <t>Product Name</t>
        </is>
      </c>
      <c r="C1" s="1" t="inlineStr">
        <is>
          <t>Camera Type</t>
        </is>
      </c>
      <c r="D1" s="1" t="inlineStr">
        <is>
          <t>Resolution</t>
        </is>
      </c>
      <c r="E1" s="1" t="inlineStr">
        <is>
          <t>Technology</t>
        </is>
      </c>
      <c r="F1" s="1" t="inlineStr">
        <is>
          <t>Indoor / Outdoor</t>
        </is>
      </c>
      <c r="G1" s="1" t="inlineStr">
        <is>
          <t>IP Rating</t>
        </is>
      </c>
      <c r="H1" s="1" t="inlineStr">
        <is>
          <t>List Price (RRP) ($)</t>
        </is>
      </c>
      <c r="I1" s="1" t="inlineStr">
        <is>
          <t>Selling Price ($)</t>
        </is>
      </c>
      <c r="J1" s="1" t="inlineStr">
        <is>
          <t>Discount (%)</t>
        </is>
      </c>
      <c r="K1" s="1" t="inlineStr">
        <is>
          <t>Discount Amount ($)</t>
        </is>
      </c>
      <c r="L1" s="1" t="inlineStr">
        <is>
          <t>Discount Type</t>
        </is>
      </c>
      <c r="M1" s="1" t="inlineStr">
        <is>
          <t>Effective Selling Price ($)</t>
        </is>
      </c>
      <c r="N1" s="1" t="inlineStr">
        <is>
          <t>COGS ($)</t>
        </is>
      </c>
      <c r="O1" s="1" t="inlineStr">
        <is>
          <t>Freight / Import Cost ($)</t>
        </is>
      </c>
      <c r="P1" s="1" t="inlineStr">
        <is>
          <t>Duties &amp; Taxes ($)</t>
        </is>
      </c>
      <c r="Q1" s="1" t="inlineStr">
        <is>
          <t>Landed Cost ($)</t>
        </is>
      </c>
      <c r="R1" s="1" t="inlineStr">
        <is>
          <t>Gross Margin ($)</t>
        </is>
      </c>
      <c r="S1" s="1" t="inlineStr">
        <is>
          <t>Gross Margin (%)</t>
        </is>
      </c>
      <c r="T1" s="1" t="inlineStr">
        <is>
          <t>Units Sold</t>
        </is>
      </c>
      <c r="U1" s="1" t="inlineStr">
        <is>
          <t>Total Revenue ($)</t>
        </is>
      </c>
      <c r="V1" s="1" t="inlineStr">
        <is>
          <t>Total Landed Cost ($)</t>
        </is>
      </c>
      <c r="W1" s="1" t="inlineStr">
        <is>
          <t>Total Gross Profit ($)</t>
        </is>
      </c>
      <c r="X1" s="1" t="inlineStr">
        <is>
          <t>Customer / Account Name</t>
        </is>
      </c>
      <c r="Y1" s="1" t="inlineStr">
        <is>
          <t>Customer Type</t>
        </is>
      </c>
      <c r="Z1" s="1" t="inlineStr">
        <is>
          <t>Project Name</t>
        </is>
      </c>
      <c r="AA1" s="1" t="inlineStr">
        <is>
          <t>Vertical / Industry</t>
        </is>
      </c>
      <c r="AB1" s="1" t="inlineStr">
        <is>
          <t>Region</t>
        </is>
      </c>
      <c r="AC1" s="1" t="inlineStr">
        <is>
          <t>Channel</t>
        </is>
      </c>
      <c r="AD1" s="1" t="inlineStr">
        <is>
          <t>Time Period (Year)</t>
        </is>
      </c>
      <c r="AE1" s="1" t="inlineStr">
        <is>
          <t>Bundle / Standalone</t>
        </is>
      </c>
      <c r="AF1" s="1" t="inlineStr">
        <is>
          <t>Warranty Period (months)</t>
        </is>
      </c>
      <c r="AG1" s="1" t="inlineStr">
        <is>
          <t>Product Generation</t>
        </is>
      </c>
      <c r="AH1" s="1" t="inlineStr">
        <is>
          <t>Target Price ($)</t>
        </is>
      </c>
      <c r="AI1" s="1" t="inlineStr">
        <is>
          <t>Variance to Target ($)</t>
        </is>
      </c>
      <c r="AJ1" s="1" t="inlineStr">
        <is>
          <t>Notes / Flags</t>
        </is>
      </c>
    </row>
    <row r="2">
      <c r="A2" s="2" t="inlineStr">
        <is>
          <t>SKU-002</t>
        </is>
      </c>
      <c r="B2" s="2" t="inlineStr">
        <is>
          <t>Dome Cam 4MP IR</t>
        </is>
      </c>
      <c r="C2" s="2" t="inlineStr">
        <is>
          <t>Dome</t>
        </is>
      </c>
      <c r="D2" s="2" t="inlineStr">
        <is>
          <t>4MP</t>
        </is>
      </c>
      <c r="E2" s="2" t="inlineStr">
        <is>
          <t>IP</t>
        </is>
      </c>
      <c r="F2" s="2" t="inlineStr">
        <is>
          <t>Outdoor</t>
        </is>
      </c>
      <c r="G2" s="2" t="inlineStr">
        <is>
          <t>IP66</t>
        </is>
      </c>
      <c r="H2" s="3" t="n">
        <v>320</v>
      </c>
      <c r="I2" s="4" t="n">
        <v>303.81</v>
      </c>
      <c r="J2" s="5" t="n">
        <v>0.0506</v>
      </c>
      <c r="K2" s="4" t="n">
        <v>16.19</v>
      </c>
      <c r="L2" s="2" t="inlineStr">
        <is>
          <t>Project Bid</t>
        </is>
      </c>
      <c r="M2" s="4" t="n">
        <v>303.81</v>
      </c>
      <c r="N2" s="3" t="n">
        <v>133.44</v>
      </c>
      <c r="O2" s="3" t="n">
        <v>8.85</v>
      </c>
      <c r="P2" s="3" t="n">
        <v>6.69</v>
      </c>
      <c r="Q2" s="4" t="n">
        <v>148.98</v>
      </c>
      <c r="R2" s="4">
        <f>M2-Q2</f>
        <v/>
      </c>
      <c r="S2" s="5">
        <f>IF(M2=0,"-",(R2/M2))</f>
        <v/>
      </c>
      <c r="T2" s="6" t="n">
        <v>73</v>
      </c>
      <c r="U2" s="4">
        <f>M2*T2</f>
        <v/>
      </c>
      <c r="V2" s="4">
        <f>Q2*T2</f>
        <v/>
      </c>
      <c r="W2" s="4">
        <f>U2-V2</f>
        <v/>
      </c>
      <c r="X2" s="2" t="inlineStr">
        <is>
          <t>SecureVision Pte Ltd</t>
        </is>
      </c>
      <c r="Y2" s="2" t="inlineStr">
        <is>
          <t>System Integrator</t>
        </is>
      </c>
      <c r="Z2" s="2" t="inlineStr">
        <is>
          <t>School Campus Safety</t>
        </is>
      </c>
      <c r="AA2" s="2" t="inlineStr">
        <is>
          <t>Transport</t>
        </is>
      </c>
      <c r="AB2" s="2" t="inlineStr">
        <is>
          <t>Malaysia</t>
        </is>
      </c>
      <c r="AC2" s="2" t="inlineStr">
        <is>
          <t>Direct</t>
        </is>
      </c>
      <c r="AD2" s="2" t="n">
        <v>2020</v>
      </c>
      <c r="AE2" s="2" t="inlineStr">
        <is>
          <t>Bundle</t>
        </is>
      </c>
      <c r="AF2" s="2" t="n">
        <v>36</v>
      </c>
      <c r="AG2" s="2" t="inlineStr">
        <is>
          <t>Gen 2</t>
        </is>
      </c>
      <c r="AH2" s="3" t="n">
        <v>263.64</v>
      </c>
      <c r="AI2" s="4" t="n">
        <v>40.17</v>
      </c>
      <c r="AJ2" s="2" t="inlineStr"/>
    </row>
    <row r="3">
      <c r="A3" s="7" t="inlineStr">
        <is>
          <t>SKU-009</t>
        </is>
      </c>
      <c r="B3" s="7" t="inlineStr">
        <is>
          <t>Turret Cam 4MP</t>
        </is>
      </c>
      <c r="C3" s="7" t="inlineStr">
        <is>
          <t>Turret</t>
        </is>
      </c>
      <c r="D3" s="7" t="inlineStr">
        <is>
          <t>4MP</t>
        </is>
      </c>
      <c r="E3" s="7" t="inlineStr">
        <is>
          <t>IP</t>
        </is>
      </c>
      <c r="F3" s="7" t="inlineStr">
        <is>
          <t>Indoor</t>
        </is>
      </c>
      <c r="G3" s="7" t="inlineStr">
        <is>
          <t>IP65</t>
        </is>
      </c>
      <c r="H3" s="8" t="n">
        <v>290</v>
      </c>
      <c r="I3" s="9" t="n">
        <v>271.38</v>
      </c>
      <c r="J3" s="10" t="n">
        <v>0.06419999999999999</v>
      </c>
      <c r="K3" s="9" t="n">
        <v>18.62</v>
      </c>
      <c r="L3" s="7" t="inlineStr">
        <is>
          <t>Project Bid</t>
        </is>
      </c>
      <c r="M3" s="9" t="n">
        <v>271.38</v>
      </c>
      <c r="N3" s="8" t="n">
        <v>123</v>
      </c>
      <c r="O3" s="8" t="n">
        <v>14.39</v>
      </c>
      <c r="P3" s="8" t="n">
        <v>4.53</v>
      </c>
      <c r="Q3" s="9" t="n">
        <v>141.92</v>
      </c>
      <c r="R3" s="9">
        <f>M3-Q3</f>
        <v/>
      </c>
      <c r="S3" s="10">
        <f>IF(M3=0,"-",(R3/M3))</f>
        <v/>
      </c>
      <c r="T3" s="11" t="n">
        <v>13</v>
      </c>
      <c r="U3" s="9">
        <f>M3*T3</f>
        <v/>
      </c>
      <c r="V3" s="9">
        <f>Q3*T3</f>
        <v/>
      </c>
      <c r="W3" s="9">
        <f>U3-V3</f>
        <v/>
      </c>
      <c r="X3" s="7" t="inlineStr">
        <is>
          <t>SkyNet Resellers</t>
        </is>
      </c>
      <c r="Y3" s="7" t="inlineStr">
        <is>
          <t>Reseller</t>
        </is>
      </c>
      <c r="Z3" s="7" t="inlineStr">
        <is>
          <t>Port Authority Monitoring</t>
        </is>
      </c>
      <c r="AA3" s="7" t="inlineStr">
        <is>
          <t>Healthcare</t>
        </is>
      </c>
      <c r="AB3" s="7" t="inlineStr">
        <is>
          <t>Vietnam</t>
        </is>
      </c>
      <c r="AC3" s="7" t="inlineStr">
        <is>
          <t>Distribution</t>
        </is>
      </c>
      <c r="AD3" s="7" t="n">
        <v>2020</v>
      </c>
      <c r="AE3" s="7" t="inlineStr">
        <is>
          <t>Bundle</t>
        </is>
      </c>
      <c r="AF3" s="7" t="n">
        <v>36</v>
      </c>
      <c r="AG3" s="7" t="inlineStr">
        <is>
          <t>Gen 2</t>
        </is>
      </c>
      <c r="AH3" s="8" t="n">
        <v>245.22</v>
      </c>
      <c r="AI3" s="9" t="n">
        <v>26.16</v>
      </c>
      <c r="AJ3" s="7" t="inlineStr">
        <is>
          <t>End-of-life stock</t>
        </is>
      </c>
    </row>
    <row r="4">
      <c r="A4" s="2" t="inlineStr">
        <is>
          <t>SKU-006</t>
        </is>
      </c>
      <c r="B4" s="2" t="inlineStr">
        <is>
          <t>PTZ Cam 8MP 4K</t>
        </is>
      </c>
      <c r="C4" s="2" t="inlineStr">
        <is>
          <t>PTZ</t>
        </is>
      </c>
      <c r="D4" s="2" t="inlineStr">
        <is>
          <t>8MP (4K)</t>
        </is>
      </c>
      <c r="E4" s="2" t="inlineStr">
        <is>
          <t>IP</t>
        </is>
      </c>
      <c r="F4" s="2" t="inlineStr">
        <is>
          <t>Outdoor</t>
        </is>
      </c>
      <c r="G4" s="2" t="inlineStr">
        <is>
          <t>IP67</t>
        </is>
      </c>
      <c r="H4" s="3" t="n">
        <v>1800</v>
      </c>
      <c r="I4" s="4" t="n">
        <v>1417.5</v>
      </c>
      <c r="J4" s="5" t="n">
        <v>0.2125</v>
      </c>
      <c r="K4" s="4" t="n">
        <v>382.5</v>
      </c>
      <c r="L4" s="2" t="inlineStr">
        <is>
          <t>Tender</t>
        </is>
      </c>
      <c r="M4" s="4" t="n">
        <v>1417.5</v>
      </c>
      <c r="N4" s="3" t="n">
        <v>784.0599999999999</v>
      </c>
      <c r="O4" s="3" t="n">
        <v>73.15000000000001</v>
      </c>
      <c r="P4" s="3" t="n">
        <v>49.46</v>
      </c>
      <c r="Q4" s="4" t="n">
        <v>906.67</v>
      </c>
      <c r="R4" s="4">
        <f>M4-Q4</f>
        <v/>
      </c>
      <c r="S4" s="5">
        <f>IF(M4=0,"-",(R4/M4))</f>
        <v/>
      </c>
      <c r="T4" s="6" t="n">
        <v>75</v>
      </c>
      <c r="U4" s="4">
        <f>M4*T4</f>
        <v/>
      </c>
      <c r="V4" s="4">
        <f>Q4*T4</f>
        <v/>
      </c>
      <c r="W4" s="4">
        <f>U4-V4</f>
        <v/>
      </c>
      <c r="X4" s="2" t="inlineStr">
        <is>
          <t>SmartBuild Integrators</t>
        </is>
      </c>
      <c r="Y4" s="2" t="inlineStr">
        <is>
          <t>System Integrator</t>
        </is>
      </c>
      <c r="Z4" s="2" t="inlineStr">
        <is>
          <t>School Campus Safety</t>
        </is>
      </c>
      <c r="AA4" s="2" t="inlineStr">
        <is>
          <t>Industrial</t>
        </is>
      </c>
      <c r="AB4" s="2" t="inlineStr">
        <is>
          <t>Singapore</t>
        </is>
      </c>
      <c r="AC4" s="2" t="inlineStr">
        <is>
          <t>Online</t>
        </is>
      </c>
      <c r="AD4" s="2" t="n">
        <v>2020</v>
      </c>
      <c r="AE4" s="2" t="inlineStr">
        <is>
          <t>Bundle</t>
        </is>
      </c>
      <c r="AF4" s="2" t="n">
        <v>24</v>
      </c>
      <c r="AG4" s="2" t="inlineStr">
        <is>
          <t>Gen 1</t>
        </is>
      </c>
      <c r="AH4" s="3" t="n">
        <v>1481.53</v>
      </c>
      <c r="AI4" s="4" t="n">
        <v>-64.03</v>
      </c>
      <c r="AJ4" s="2" t="inlineStr">
        <is>
          <t>Standard deal</t>
        </is>
      </c>
    </row>
    <row r="5">
      <c r="A5" s="7" t="inlineStr">
        <is>
          <t>SKU-001</t>
        </is>
      </c>
      <c r="B5" s="7" t="inlineStr">
        <is>
          <t>Dome Cam 2MP Indoor</t>
        </is>
      </c>
      <c r="C5" s="7" t="inlineStr">
        <is>
          <t>Dome</t>
        </is>
      </c>
      <c r="D5" s="7" t="inlineStr">
        <is>
          <t>2MP</t>
        </is>
      </c>
      <c r="E5" s="7" t="inlineStr">
        <is>
          <t>IP</t>
        </is>
      </c>
      <c r="F5" s="7" t="inlineStr">
        <is>
          <t>Indoor</t>
        </is>
      </c>
      <c r="G5" s="7" t="inlineStr">
        <is>
          <t>IP65</t>
        </is>
      </c>
      <c r="H5" s="8" t="n">
        <v>180</v>
      </c>
      <c r="I5" s="9" t="n">
        <v>160.52</v>
      </c>
      <c r="J5" s="10" t="n">
        <v>0.1082</v>
      </c>
      <c r="K5" s="9" t="n">
        <v>19.48</v>
      </c>
      <c r="L5" s="7" t="inlineStr">
        <is>
          <t>Tender</t>
        </is>
      </c>
      <c r="M5" s="9" t="n">
        <v>160.52</v>
      </c>
      <c r="N5" s="8" t="n">
        <v>77.3</v>
      </c>
      <c r="O5" s="8" t="n">
        <v>7.49</v>
      </c>
      <c r="P5" s="8" t="n">
        <v>4.26</v>
      </c>
      <c r="Q5" s="9" t="n">
        <v>89.05</v>
      </c>
      <c r="R5" s="9">
        <f>M5-Q5</f>
        <v/>
      </c>
      <c r="S5" s="10">
        <f>IF(M5=0,"-",(R5/M5))</f>
        <v/>
      </c>
      <c r="T5" s="11" t="n">
        <v>11</v>
      </c>
      <c r="U5" s="9">
        <f>M5*T5</f>
        <v/>
      </c>
      <c r="V5" s="9">
        <f>Q5*T5</f>
        <v/>
      </c>
      <c r="W5" s="9">
        <f>U5-V5</f>
        <v/>
      </c>
      <c r="X5" s="7" t="inlineStr">
        <is>
          <t>Changi Airport Group</t>
        </is>
      </c>
      <c r="Y5" s="7" t="inlineStr">
        <is>
          <t>End User</t>
        </is>
      </c>
      <c r="Z5" s="7" t="inlineStr">
        <is>
          <t>School Campus Safety</t>
        </is>
      </c>
      <c r="AA5" s="7" t="inlineStr">
        <is>
          <t>Government</t>
        </is>
      </c>
      <c r="AB5" s="7" t="inlineStr">
        <is>
          <t>Malaysia</t>
        </is>
      </c>
      <c r="AC5" s="7" t="inlineStr">
        <is>
          <t>Direct</t>
        </is>
      </c>
      <c r="AD5" s="7" t="n">
        <v>2020</v>
      </c>
      <c r="AE5" s="7" t="inlineStr">
        <is>
          <t>Standalone</t>
        </is>
      </c>
      <c r="AF5" s="7" t="n">
        <v>24</v>
      </c>
      <c r="AG5" s="7" t="inlineStr">
        <is>
          <t>Gen 2</t>
        </is>
      </c>
      <c r="AH5" s="8" t="n">
        <v>157.16</v>
      </c>
      <c r="AI5" s="9" t="n">
        <v>3.36</v>
      </c>
      <c r="AJ5" s="7" t="inlineStr">
        <is>
          <t>Matched quote</t>
        </is>
      </c>
    </row>
    <row r="6">
      <c r="A6" s="2" t="inlineStr">
        <is>
          <t>SKU-009</t>
        </is>
      </c>
      <c r="B6" s="2" t="inlineStr">
        <is>
          <t>Turret Cam 4MP</t>
        </is>
      </c>
      <c r="C6" s="2" t="inlineStr">
        <is>
          <t>Turret</t>
        </is>
      </c>
      <c r="D6" s="2" t="inlineStr">
        <is>
          <t>4MP</t>
        </is>
      </c>
      <c r="E6" s="2" t="inlineStr">
        <is>
          <t>IP</t>
        </is>
      </c>
      <c r="F6" s="2" t="inlineStr">
        <is>
          <t>Indoor</t>
        </is>
      </c>
      <c r="G6" s="2" t="inlineStr">
        <is>
          <t>IP65</t>
        </is>
      </c>
      <c r="H6" s="3" t="n">
        <v>290</v>
      </c>
      <c r="I6" s="4" t="n">
        <v>231.8</v>
      </c>
      <c r="J6" s="5" t="n">
        <v>0.2007</v>
      </c>
      <c r="K6" s="4" t="n">
        <v>58.2</v>
      </c>
      <c r="L6" s="2" t="inlineStr">
        <is>
          <t>Loyalty</t>
        </is>
      </c>
      <c r="M6" s="4" t="n">
        <v>231.8</v>
      </c>
      <c r="N6" s="3" t="n">
        <v>129.29</v>
      </c>
      <c r="O6" s="3" t="n">
        <v>8.539999999999999</v>
      </c>
      <c r="P6" s="3" t="n">
        <v>2.79</v>
      </c>
      <c r="Q6" s="4" t="n">
        <v>140.62</v>
      </c>
      <c r="R6" s="4">
        <f>M6-Q6</f>
        <v/>
      </c>
      <c r="S6" s="5">
        <f>IF(M6=0,"-",(R6/M6))</f>
        <v/>
      </c>
      <c r="T6" s="6" t="n">
        <v>42</v>
      </c>
      <c r="U6" s="4">
        <f>M6*T6</f>
        <v/>
      </c>
      <c r="V6" s="4">
        <f>Q6*T6</f>
        <v/>
      </c>
      <c r="W6" s="4">
        <f>U6-V6</f>
        <v/>
      </c>
      <c r="X6" s="2" t="inlineStr">
        <is>
          <t>Changi Airport Group</t>
        </is>
      </c>
      <c r="Y6" s="2" t="inlineStr">
        <is>
          <t>End User</t>
        </is>
      </c>
      <c r="Z6" s="2" t="inlineStr">
        <is>
          <t>Mall Security Rollout</t>
        </is>
      </c>
      <c r="AA6" s="2" t="inlineStr">
        <is>
          <t>Healthcare</t>
        </is>
      </c>
      <c r="AB6" s="2" t="inlineStr">
        <is>
          <t>Thailand</t>
        </is>
      </c>
      <c r="AC6" s="2" t="inlineStr">
        <is>
          <t>Distribution</t>
        </is>
      </c>
      <c r="AD6" s="2" t="n">
        <v>2020</v>
      </c>
      <c r="AE6" s="2" t="inlineStr">
        <is>
          <t>Bundle</t>
        </is>
      </c>
      <c r="AF6" s="2" t="n">
        <v>36</v>
      </c>
      <c r="AG6" s="2" t="inlineStr">
        <is>
          <t>Gen 2</t>
        </is>
      </c>
      <c r="AH6" s="3" t="n">
        <v>245.96</v>
      </c>
      <c r="AI6" s="4" t="n">
        <v>-14.16</v>
      </c>
      <c r="AJ6" s="2" t="inlineStr">
        <is>
          <t>Standard deal</t>
        </is>
      </c>
    </row>
    <row r="7">
      <c r="A7" s="7" t="inlineStr">
        <is>
          <t>SKU-004</t>
        </is>
      </c>
      <c r="B7" s="7" t="inlineStr">
        <is>
          <t>Bullet Cam 4MP AI</t>
        </is>
      </c>
      <c r="C7" s="7" t="inlineStr">
        <is>
          <t>Bullet</t>
        </is>
      </c>
      <c r="D7" s="7" t="inlineStr">
        <is>
          <t>4MP</t>
        </is>
      </c>
      <c r="E7" s="7" t="inlineStr">
        <is>
          <t>AI-enabled</t>
        </is>
      </c>
      <c r="F7" s="7" t="inlineStr">
        <is>
          <t>Outdoor</t>
        </is>
      </c>
      <c r="G7" s="7" t="inlineStr">
        <is>
          <t>IP67</t>
        </is>
      </c>
      <c r="H7" s="8" t="n">
        <v>480</v>
      </c>
      <c r="I7" s="9" t="n">
        <v>386.93</v>
      </c>
      <c r="J7" s="10" t="n">
        <v>0.1939</v>
      </c>
      <c r="K7" s="9" t="n">
        <v>93.06999999999999</v>
      </c>
      <c r="L7" s="7" t="inlineStr">
        <is>
          <t>Tender</t>
        </is>
      </c>
      <c r="M7" s="9" t="n">
        <v>386.93</v>
      </c>
      <c r="N7" s="8" t="n">
        <v>202.43</v>
      </c>
      <c r="O7" s="8" t="n">
        <v>17.76</v>
      </c>
      <c r="P7" s="8" t="n">
        <v>11.61</v>
      </c>
      <c r="Q7" s="9" t="n">
        <v>231.8</v>
      </c>
      <c r="R7" s="9">
        <f>M7-Q7</f>
        <v/>
      </c>
      <c r="S7" s="10">
        <f>IF(M7=0,"-",(R7/M7))</f>
        <v/>
      </c>
      <c r="T7" s="11" t="n">
        <v>56</v>
      </c>
      <c r="U7" s="9">
        <f>M7*T7</f>
        <v/>
      </c>
      <c r="V7" s="9">
        <f>Q7*T7</f>
        <v/>
      </c>
      <c r="W7" s="9">
        <f>U7-V7</f>
        <v/>
      </c>
      <c r="X7" s="7" t="inlineStr">
        <is>
          <t>SmartBuild Integrators</t>
        </is>
      </c>
      <c r="Y7" s="7" t="inlineStr">
        <is>
          <t>System Integrator</t>
        </is>
      </c>
      <c r="Z7" s="7" t="inlineStr">
        <is>
          <t>Hospital Perimeter Security</t>
        </is>
      </c>
      <c r="AA7" s="7" t="inlineStr">
        <is>
          <t>Transport</t>
        </is>
      </c>
      <c r="AB7" s="7" t="inlineStr">
        <is>
          <t>Philippines</t>
        </is>
      </c>
      <c r="AC7" s="7" t="inlineStr">
        <is>
          <t>Distribution</t>
        </is>
      </c>
      <c r="AD7" s="7" t="n">
        <v>2020</v>
      </c>
      <c r="AE7" s="7" t="inlineStr">
        <is>
          <t>Standalone</t>
        </is>
      </c>
      <c r="AF7" s="7" t="n">
        <v>12</v>
      </c>
      <c r="AG7" s="7" t="inlineStr">
        <is>
          <t>Gen 2</t>
        </is>
      </c>
      <c r="AH7" s="8" t="n">
        <v>435.71</v>
      </c>
      <c r="AI7" s="9" t="n">
        <v>-48.78</v>
      </c>
      <c r="AJ7" s="7" t="inlineStr">
        <is>
          <t>Promotional period</t>
        </is>
      </c>
    </row>
    <row r="8">
      <c r="A8" s="2" t="inlineStr">
        <is>
          <t>SKU-006</t>
        </is>
      </c>
      <c r="B8" s="2" t="inlineStr">
        <is>
          <t>PTZ Cam 8MP 4K</t>
        </is>
      </c>
      <c r="C8" s="2" t="inlineStr">
        <is>
          <t>PTZ</t>
        </is>
      </c>
      <c r="D8" s="2" t="inlineStr">
        <is>
          <t>8MP (4K)</t>
        </is>
      </c>
      <c r="E8" s="2" t="inlineStr">
        <is>
          <t>IP</t>
        </is>
      </c>
      <c r="F8" s="2" t="inlineStr">
        <is>
          <t>Outdoor</t>
        </is>
      </c>
      <c r="G8" s="2" t="inlineStr">
        <is>
          <t>IP67</t>
        </is>
      </c>
      <c r="H8" s="3" t="n">
        <v>1800</v>
      </c>
      <c r="I8" s="4" t="n">
        <v>1578.78</v>
      </c>
      <c r="J8" s="5" t="n">
        <v>0.1229</v>
      </c>
      <c r="K8" s="4" t="n">
        <v>221.22</v>
      </c>
      <c r="L8" s="2" t="inlineStr">
        <is>
          <t>Project Bid</t>
        </is>
      </c>
      <c r="M8" s="4" t="n">
        <v>1578.78</v>
      </c>
      <c r="N8" s="3" t="n">
        <v>802.78</v>
      </c>
      <c r="O8" s="3" t="n">
        <v>43.71</v>
      </c>
      <c r="P8" s="3" t="n">
        <v>31.37</v>
      </c>
      <c r="Q8" s="4" t="n">
        <v>877.86</v>
      </c>
      <c r="R8" s="4">
        <f>M8-Q8</f>
        <v/>
      </c>
      <c r="S8" s="5">
        <f>IF(M8=0,"-",(R8/M8))</f>
        <v/>
      </c>
      <c r="T8" s="6" t="n">
        <v>61</v>
      </c>
      <c r="U8" s="4">
        <f>M8*T8</f>
        <v/>
      </c>
      <c r="V8" s="4">
        <f>Q8*T8</f>
        <v/>
      </c>
      <c r="W8" s="4">
        <f>U8-V8</f>
        <v/>
      </c>
      <c r="X8" s="2" t="inlineStr">
        <is>
          <t>Changi Airport Group</t>
        </is>
      </c>
      <c r="Y8" s="2" t="inlineStr">
        <is>
          <t>End User</t>
        </is>
      </c>
      <c r="Z8" s="2" t="inlineStr">
        <is>
          <t>Mall Security Rollout</t>
        </is>
      </c>
      <c r="AA8" s="2" t="inlineStr">
        <is>
          <t>Education</t>
        </is>
      </c>
      <c r="AB8" s="2" t="inlineStr">
        <is>
          <t>Thailand</t>
        </is>
      </c>
      <c r="AC8" s="2" t="inlineStr">
        <is>
          <t>Direct</t>
        </is>
      </c>
      <c r="AD8" s="2" t="n">
        <v>2020</v>
      </c>
      <c r="AE8" s="2" t="inlineStr">
        <is>
          <t>Bundle</t>
        </is>
      </c>
      <c r="AF8" s="2" t="n">
        <v>12</v>
      </c>
      <c r="AG8" s="2" t="inlineStr">
        <is>
          <t>Gen 1</t>
        </is>
      </c>
      <c r="AH8" s="3" t="n">
        <v>1554.29</v>
      </c>
      <c r="AI8" s="4" t="n">
        <v>24.49</v>
      </c>
      <c r="AJ8" s="2" t="inlineStr">
        <is>
          <t>Rush order</t>
        </is>
      </c>
    </row>
    <row r="9">
      <c r="A9" s="7" t="inlineStr">
        <is>
          <t>SKU-001</t>
        </is>
      </c>
      <c r="B9" s="7" t="inlineStr">
        <is>
          <t>Dome Cam 2MP Indoor</t>
        </is>
      </c>
      <c r="C9" s="7" t="inlineStr">
        <is>
          <t>Dome</t>
        </is>
      </c>
      <c r="D9" s="7" t="inlineStr">
        <is>
          <t>2MP</t>
        </is>
      </c>
      <c r="E9" s="7" t="inlineStr">
        <is>
          <t>IP</t>
        </is>
      </c>
      <c r="F9" s="7" t="inlineStr">
        <is>
          <t>Indoor</t>
        </is>
      </c>
      <c r="G9" s="7" t="inlineStr">
        <is>
          <t>IP65</t>
        </is>
      </c>
      <c r="H9" s="8" t="n">
        <v>180</v>
      </c>
      <c r="I9" s="9" t="n">
        <v>174.47</v>
      </c>
      <c r="J9" s="10" t="n">
        <v>0.0307</v>
      </c>
      <c r="K9" s="9" t="n">
        <v>5.53</v>
      </c>
      <c r="L9" s="7" t="inlineStr">
        <is>
          <t>Distributor</t>
        </is>
      </c>
      <c r="M9" s="9" t="n">
        <v>174.47</v>
      </c>
      <c r="N9" s="8" t="n">
        <v>77.27</v>
      </c>
      <c r="O9" s="8" t="n">
        <v>7.77</v>
      </c>
      <c r="P9" s="8" t="n">
        <v>4.33</v>
      </c>
      <c r="Q9" s="9" t="n">
        <v>89.37</v>
      </c>
      <c r="R9" s="9">
        <f>M9-Q9</f>
        <v/>
      </c>
      <c r="S9" s="10">
        <f>IF(M9=0,"-",(R9/M9))</f>
        <v/>
      </c>
      <c r="T9" s="11" t="n">
        <v>66</v>
      </c>
      <c r="U9" s="9">
        <f>M9*T9</f>
        <v/>
      </c>
      <c r="V9" s="9">
        <f>Q9*T9</f>
        <v/>
      </c>
      <c r="W9" s="9">
        <f>U9-V9</f>
        <v/>
      </c>
      <c r="X9" s="7" t="inlineStr">
        <is>
          <t>SafeCity Solutions</t>
        </is>
      </c>
      <c r="Y9" s="7" t="inlineStr">
        <is>
          <t>System Integrator</t>
        </is>
      </c>
      <c r="Z9" s="7" t="inlineStr">
        <is>
          <t>CBD Traffic Surveillance</t>
        </is>
      </c>
      <c r="AA9" s="7" t="inlineStr">
        <is>
          <t>Industrial</t>
        </is>
      </c>
      <c r="AB9" s="7" t="inlineStr">
        <is>
          <t>Indonesia</t>
        </is>
      </c>
      <c r="AC9" s="7" t="inlineStr">
        <is>
          <t>Online</t>
        </is>
      </c>
      <c r="AD9" s="7" t="n">
        <v>2020</v>
      </c>
      <c r="AE9" s="7" t="inlineStr">
        <is>
          <t>Bundle</t>
        </is>
      </c>
      <c r="AF9" s="7" t="n">
        <v>24</v>
      </c>
      <c r="AG9" s="7" t="inlineStr">
        <is>
          <t>Gen 2</t>
        </is>
      </c>
      <c r="AH9" s="8" t="n">
        <v>160.46</v>
      </c>
      <c r="AI9" s="9" t="n">
        <v>14.01</v>
      </c>
      <c r="AJ9" s="7" t="inlineStr">
        <is>
          <t>Rush order</t>
        </is>
      </c>
    </row>
    <row r="10">
      <c r="A10" s="2" t="inlineStr">
        <is>
          <t>SKU-002</t>
        </is>
      </c>
      <c r="B10" s="2" t="inlineStr">
        <is>
          <t>Dome Cam 4MP IR</t>
        </is>
      </c>
      <c r="C10" s="2" t="inlineStr">
        <is>
          <t>Dome</t>
        </is>
      </c>
      <c r="D10" s="2" t="inlineStr">
        <is>
          <t>4MP</t>
        </is>
      </c>
      <c r="E10" s="2" t="inlineStr">
        <is>
          <t>IP</t>
        </is>
      </c>
      <c r="F10" s="2" t="inlineStr">
        <is>
          <t>Outdoor</t>
        </is>
      </c>
      <c r="G10" s="2" t="inlineStr">
        <is>
          <t>IP66</t>
        </is>
      </c>
      <c r="H10" s="3" t="n">
        <v>320</v>
      </c>
      <c r="I10" s="4" t="n">
        <v>276</v>
      </c>
      <c r="J10" s="5" t="n">
        <v>0.1375</v>
      </c>
      <c r="K10" s="4" t="n">
        <v>44</v>
      </c>
      <c r="L10" s="2" t="inlineStr">
        <is>
          <t>Distributor</t>
        </is>
      </c>
      <c r="M10" s="4" t="n">
        <v>276</v>
      </c>
      <c r="N10" s="3" t="n">
        <v>141.39</v>
      </c>
      <c r="O10" s="3" t="n">
        <v>8.18</v>
      </c>
      <c r="P10" s="3" t="n">
        <v>5.39</v>
      </c>
      <c r="Q10" s="4" t="n">
        <v>154.96</v>
      </c>
      <c r="R10" s="4">
        <f>M10-Q10</f>
        <v/>
      </c>
      <c r="S10" s="5">
        <f>IF(M10=0,"-",(R10/M10))</f>
        <v/>
      </c>
      <c r="T10" s="6" t="n">
        <v>41</v>
      </c>
      <c r="U10" s="4">
        <f>M10*T10</f>
        <v/>
      </c>
      <c r="V10" s="4">
        <f>Q10*T10</f>
        <v/>
      </c>
      <c r="W10" s="4">
        <f>U10-V10</f>
        <v/>
      </c>
      <c r="X10" s="2" t="inlineStr">
        <is>
          <t>TechDist Asia</t>
        </is>
      </c>
      <c r="Y10" s="2" t="inlineStr">
        <is>
          <t>Distributor</t>
        </is>
      </c>
      <c r="Z10" s="2" t="inlineStr">
        <is>
          <t>CBD Traffic Surveillance</t>
        </is>
      </c>
      <c r="AA10" s="2" t="inlineStr">
        <is>
          <t>Education</t>
        </is>
      </c>
      <c r="AB10" s="2" t="inlineStr">
        <is>
          <t>Malaysia</t>
        </is>
      </c>
      <c r="AC10" s="2" t="inlineStr">
        <is>
          <t>Direct</t>
        </is>
      </c>
      <c r="AD10" s="2" t="n">
        <v>2020</v>
      </c>
      <c r="AE10" s="2" t="inlineStr">
        <is>
          <t>Bundle</t>
        </is>
      </c>
      <c r="AF10" s="2" t="n">
        <v>36</v>
      </c>
      <c r="AG10" s="2" t="inlineStr">
        <is>
          <t>Gen 1</t>
        </is>
      </c>
      <c r="AH10" s="3" t="n">
        <v>265.19</v>
      </c>
      <c r="AI10" s="4" t="n">
        <v>10.81</v>
      </c>
      <c r="AJ10" s="2" t="inlineStr">
        <is>
          <t>Matched quote</t>
        </is>
      </c>
    </row>
    <row r="11">
      <c r="A11" s="7" t="inlineStr">
        <is>
          <t>SKU-010</t>
        </is>
      </c>
      <c r="B11" s="7" t="inlineStr">
        <is>
          <t>Turret Cam 8MP 4K AI</t>
        </is>
      </c>
      <c r="C11" s="7" t="inlineStr">
        <is>
          <t>Turret</t>
        </is>
      </c>
      <c r="D11" s="7" t="inlineStr">
        <is>
          <t>8MP (4K)</t>
        </is>
      </c>
      <c r="E11" s="7" t="inlineStr">
        <is>
          <t>AI-enabled</t>
        </is>
      </c>
      <c r="F11" s="7" t="inlineStr">
        <is>
          <t>Outdoor</t>
        </is>
      </c>
      <c r="G11" s="7" t="inlineStr">
        <is>
          <t>IP66</t>
        </is>
      </c>
      <c r="H11" s="8" t="n">
        <v>780</v>
      </c>
      <c r="I11" s="9" t="n">
        <v>728.29</v>
      </c>
      <c r="J11" s="10" t="n">
        <v>0.0663</v>
      </c>
      <c r="K11" s="9" t="n">
        <v>51.71</v>
      </c>
      <c r="L11" s="7" t="inlineStr">
        <is>
          <t>Loyalty</t>
        </is>
      </c>
      <c r="M11" s="9" t="n">
        <v>728.29</v>
      </c>
      <c r="N11" s="8" t="n">
        <v>355.19</v>
      </c>
      <c r="O11" s="8" t="n">
        <v>30.88</v>
      </c>
      <c r="P11" s="8" t="n">
        <v>17.88</v>
      </c>
      <c r="Q11" s="9" t="n">
        <v>403.95</v>
      </c>
      <c r="R11" s="9">
        <f>M11-Q11</f>
        <v/>
      </c>
      <c r="S11" s="10">
        <f>IF(M11=0,"-",(R11/M11))</f>
        <v/>
      </c>
      <c r="T11" s="11" t="n">
        <v>29</v>
      </c>
      <c r="U11" s="9">
        <f>M11*T11</f>
        <v/>
      </c>
      <c r="V11" s="9">
        <f>Q11*T11</f>
        <v/>
      </c>
      <c r="W11" s="9">
        <f>U11-V11</f>
        <v/>
      </c>
      <c r="X11" s="7" t="inlineStr">
        <is>
          <t>SafeCity Solutions</t>
        </is>
      </c>
      <c r="Y11" s="7" t="inlineStr">
        <is>
          <t>System Integrator</t>
        </is>
      </c>
      <c r="Z11" s="7" t="inlineStr">
        <is>
          <t>City Surveillance Phase 1</t>
        </is>
      </c>
      <c r="AA11" s="7" t="inlineStr">
        <is>
          <t>Commercial</t>
        </is>
      </c>
      <c r="AB11" s="7" t="inlineStr">
        <is>
          <t>Thailand</t>
        </is>
      </c>
      <c r="AC11" s="7" t="inlineStr">
        <is>
          <t>Direct</t>
        </is>
      </c>
      <c r="AD11" s="7" t="n">
        <v>2020</v>
      </c>
      <c r="AE11" s="7" t="inlineStr">
        <is>
          <t>Bundle</t>
        </is>
      </c>
      <c r="AF11" s="7" t="n">
        <v>12</v>
      </c>
      <c r="AG11" s="7" t="inlineStr">
        <is>
          <t>Gen 2</t>
        </is>
      </c>
      <c r="AH11" s="8" t="n">
        <v>710.95</v>
      </c>
      <c r="AI11" s="9" t="n">
        <v>17.34</v>
      </c>
      <c r="AJ11" s="7" t="inlineStr"/>
    </row>
    <row r="12">
      <c r="A12" s="2" t="inlineStr">
        <is>
          <t>SKU-004</t>
        </is>
      </c>
      <c r="B12" s="2" t="inlineStr">
        <is>
          <t>Bullet Cam 4MP AI</t>
        </is>
      </c>
      <c r="C12" s="2" t="inlineStr">
        <is>
          <t>Bullet</t>
        </is>
      </c>
      <c r="D12" s="2" t="inlineStr">
        <is>
          <t>4MP</t>
        </is>
      </c>
      <c r="E12" s="2" t="inlineStr">
        <is>
          <t>AI-enabled</t>
        </is>
      </c>
      <c r="F12" s="2" t="inlineStr">
        <is>
          <t>Outdoor</t>
        </is>
      </c>
      <c r="G12" s="2" t="inlineStr">
        <is>
          <t>IP67</t>
        </is>
      </c>
      <c r="H12" s="3" t="n">
        <v>480</v>
      </c>
      <c r="I12" s="4" t="n">
        <v>429.89</v>
      </c>
      <c r="J12" s="5" t="n">
        <v>0.1044</v>
      </c>
      <c r="K12" s="4" t="n">
        <v>50.11</v>
      </c>
      <c r="L12" s="2" t="inlineStr">
        <is>
          <t>Tender</t>
        </is>
      </c>
      <c r="M12" s="4" t="n">
        <v>429.89</v>
      </c>
      <c r="N12" s="3" t="n">
        <v>204.22</v>
      </c>
      <c r="O12" s="3" t="n">
        <v>18.62</v>
      </c>
      <c r="P12" s="3" t="n">
        <v>6.43</v>
      </c>
      <c r="Q12" s="4" t="n">
        <v>229.27</v>
      </c>
      <c r="R12" s="4">
        <f>M12-Q12</f>
        <v/>
      </c>
      <c r="S12" s="5">
        <f>IF(M12=0,"-",(R12/M12))</f>
        <v/>
      </c>
      <c r="T12" s="6" t="n">
        <v>30</v>
      </c>
      <c r="U12" s="4">
        <f>M12*T12</f>
        <v/>
      </c>
      <c r="V12" s="4">
        <f>Q12*T12</f>
        <v/>
      </c>
      <c r="W12" s="4">
        <f>U12-V12</f>
        <v/>
      </c>
      <c r="X12" s="2" t="inlineStr">
        <is>
          <t>TechDist Asia</t>
        </is>
      </c>
      <c r="Y12" s="2" t="inlineStr">
        <is>
          <t>Distributor</t>
        </is>
      </c>
      <c r="Z12" s="2" t="inlineStr">
        <is>
          <t>Smart City Initiative</t>
        </is>
      </c>
      <c r="AA12" s="2" t="inlineStr">
        <is>
          <t>Commercial</t>
        </is>
      </c>
      <c r="AB12" s="2" t="inlineStr">
        <is>
          <t>Philippines</t>
        </is>
      </c>
      <c r="AC12" s="2" t="inlineStr">
        <is>
          <t>Distribution</t>
        </is>
      </c>
      <c r="AD12" s="2" t="n">
        <v>2020</v>
      </c>
      <c r="AE12" s="2" t="inlineStr">
        <is>
          <t>Standalone</t>
        </is>
      </c>
      <c r="AF12" s="2" t="n">
        <v>12</v>
      </c>
      <c r="AG12" s="2" t="inlineStr">
        <is>
          <t>Gen 1</t>
        </is>
      </c>
      <c r="AH12" s="3" t="n">
        <v>384.41</v>
      </c>
      <c r="AI12" s="4" t="n">
        <v>45.48</v>
      </c>
      <c r="AJ12" s="2" t="inlineStr"/>
    </row>
    <row r="13">
      <c r="A13" s="7" t="inlineStr">
        <is>
          <t>SKU-001</t>
        </is>
      </c>
      <c r="B13" s="7" t="inlineStr">
        <is>
          <t>Dome Cam 2MP Indoor</t>
        </is>
      </c>
      <c r="C13" s="7" t="inlineStr">
        <is>
          <t>Dome</t>
        </is>
      </c>
      <c r="D13" s="7" t="inlineStr">
        <is>
          <t>2MP</t>
        </is>
      </c>
      <c r="E13" s="7" t="inlineStr">
        <is>
          <t>IP</t>
        </is>
      </c>
      <c r="F13" s="7" t="inlineStr">
        <is>
          <t>Indoor</t>
        </is>
      </c>
      <c r="G13" s="7" t="inlineStr">
        <is>
          <t>IP65</t>
        </is>
      </c>
      <c r="H13" s="8" t="n">
        <v>180</v>
      </c>
      <c r="I13" s="9" t="n">
        <v>169.36</v>
      </c>
      <c r="J13" s="10" t="n">
        <v>0.0591</v>
      </c>
      <c r="K13" s="9" t="n">
        <v>10.64</v>
      </c>
      <c r="L13" s="7" t="inlineStr">
        <is>
          <t>Loyalty</t>
        </is>
      </c>
      <c r="M13" s="9" t="n">
        <v>169.36</v>
      </c>
      <c r="N13" s="8" t="n">
        <v>77.70999999999999</v>
      </c>
      <c r="O13" s="8" t="n">
        <v>8.970000000000001</v>
      </c>
      <c r="P13" s="8" t="n">
        <v>3.77</v>
      </c>
      <c r="Q13" s="9" t="n">
        <v>90.45</v>
      </c>
      <c r="R13" s="9">
        <f>M13-Q13</f>
        <v/>
      </c>
      <c r="S13" s="10">
        <f>IF(M13=0,"-",(R13/M13))</f>
        <v/>
      </c>
      <c r="T13" s="11" t="n">
        <v>62</v>
      </c>
      <c r="U13" s="9">
        <f>M13*T13</f>
        <v/>
      </c>
      <c r="V13" s="9">
        <f>Q13*T13</f>
        <v/>
      </c>
      <c r="W13" s="9">
        <f>U13-V13</f>
        <v/>
      </c>
      <c r="X13" s="7" t="inlineStr">
        <is>
          <t>Changi Airport Group</t>
        </is>
      </c>
      <c r="Y13" s="7" t="inlineStr">
        <is>
          <t>End User</t>
        </is>
      </c>
      <c r="Z13" s="7" t="inlineStr">
        <is>
          <t>City Surveillance Phase 1</t>
        </is>
      </c>
      <c r="AA13" s="7" t="inlineStr">
        <is>
          <t>Government</t>
        </is>
      </c>
      <c r="AB13" s="7" t="inlineStr">
        <is>
          <t>Indonesia</t>
        </is>
      </c>
      <c r="AC13" s="7" t="inlineStr">
        <is>
          <t>Direct</t>
        </is>
      </c>
      <c r="AD13" s="7" t="n">
        <v>2020</v>
      </c>
      <c r="AE13" s="7" t="inlineStr">
        <is>
          <t>Bundle</t>
        </is>
      </c>
      <c r="AF13" s="7" t="n">
        <v>24</v>
      </c>
      <c r="AG13" s="7" t="inlineStr">
        <is>
          <t>Gen 2</t>
        </is>
      </c>
      <c r="AH13" s="8" t="n">
        <v>149.25</v>
      </c>
      <c r="AI13" s="9" t="n">
        <v>20.11</v>
      </c>
      <c r="AJ13" s="7" t="inlineStr">
        <is>
          <t>Promotional period</t>
        </is>
      </c>
    </row>
    <row r="14">
      <c r="A14" s="2" t="inlineStr">
        <is>
          <t>SKU-007</t>
        </is>
      </c>
      <c r="B14" s="2" t="inlineStr">
        <is>
          <t>Fisheye Cam 4MP</t>
        </is>
      </c>
      <c r="C14" s="2" t="inlineStr">
        <is>
          <t>Fisheye</t>
        </is>
      </c>
      <c r="D14" s="2" t="inlineStr">
        <is>
          <t>4MP</t>
        </is>
      </c>
      <c r="E14" s="2" t="inlineStr">
        <is>
          <t>IP</t>
        </is>
      </c>
      <c r="F14" s="2" t="inlineStr">
        <is>
          <t>Indoor</t>
        </is>
      </c>
      <c r="G14" s="2" t="inlineStr">
        <is>
          <t>IP65</t>
        </is>
      </c>
      <c r="H14" s="3" t="n">
        <v>620</v>
      </c>
      <c r="I14" s="4" t="n">
        <v>594.02</v>
      </c>
      <c r="J14" s="5" t="n">
        <v>0.0419</v>
      </c>
      <c r="K14" s="4" t="n">
        <v>25.98</v>
      </c>
      <c r="L14" s="2" t="inlineStr">
        <is>
          <t>Distributor</t>
        </is>
      </c>
      <c r="M14" s="4" t="n">
        <v>594.02</v>
      </c>
      <c r="N14" s="3" t="n">
        <v>279.82</v>
      </c>
      <c r="O14" s="3" t="n">
        <v>26.79</v>
      </c>
      <c r="P14" s="3" t="n">
        <v>14.64</v>
      </c>
      <c r="Q14" s="4" t="n">
        <v>321.25</v>
      </c>
      <c r="R14" s="4">
        <f>M14-Q14</f>
        <v/>
      </c>
      <c r="S14" s="5">
        <f>IF(M14=0,"-",(R14/M14))</f>
        <v/>
      </c>
      <c r="T14" s="6" t="n">
        <v>9</v>
      </c>
      <c r="U14" s="4">
        <f>M14*T14</f>
        <v/>
      </c>
      <c r="V14" s="4">
        <f>Q14*T14</f>
        <v/>
      </c>
      <c r="W14" s="4">
        <f>U14-V14</f>
        <v/>
      </c>
      <c r="X14" s="2" t="inlineStr">
        <is>
          <t>Changi Airport Group</t>
        </is>
      </c>
      <c r="Y14" s="2" t="inlineStr">
        <is>
          <t>End User</t>
        </is>
      </c>
      <c r="Z14" s="2" t="inlineStr">
        <is>
          <t>City Surveillance Phase 1</t>
        </is>
      </c>
      <c r="AA14" s="2" t="inlineStr">
        <is>
          <t>Government</t>
        </is>
      </c>
      <c r="AB14" s="2" t="inlineStr">
        <is>
          <t>Philippines</t>
        </is>
      </c>
      <c r="AC14" s="2" t="inlineStr">
        <is>
          <t>Distribution</t>
        </is>
      </c>
      <c r="AD14" s="2" t="n">
        <v>2020</v>
      </c>
      <c r="AE14" s="2" t="inlineStr">
        <is>
          <t>Standalone</t>
        </is>
      </c>
      <c r="AF14" s="2" t="n">
        <v>24</v>
      </c>
      <c r="AG14" s="2" t="inlineStr">
        <is>
          <t>Gen 2</t>
        </is>
      </c>
      <c r="AH14" s="3" t="n">
        <v>525.96</v>
      </c>
      <c r="AI14" s="4" t="n">
        <v>68.06</v>
      </c>
      <c r="AJ14" s="2" t="inlineStr">
        <is>
          <t>End-of-life stock</t>
        </is>
      </c>
    </row>
    <row r="15">
      <c r="A15" s="7" t="inlineStr">
        <is>
          <t>SKU-002</t>
        </is>
      </c>
      <c r="B15" s="7" t="inlineStr">
        <is>
          <t>Dome Cam 4MP IR</t>
        </is>
      </c>
      <c r="C15" s="7" t="inlineStr">
        <is>
          <t>Dome</t>
        </is>
      </c>
      <c r="D15" s="7" t="inlineStr">
        <is>
          <t>4MP</t>
        </is>
      </c>
      <c r="E15" s="7" t="inlineStr">
        <is>
          <t>IP</t>
        </is>
      </c>
      <c r="F15" s="7" t="inlineStr">
        <is>
          <t>Outdoor</t>
        </is>
      </c>
      <c r="G15" s="7" t="inlineStr">
        <is>
          <t>IP66</t>
        </is>
      </c>
      <c r="H15" s="8" t="n">
        <v>320</v>
      </c>
      <c r="I15" s="9" t="n">
        <v>248.83</v>
      </c>
      <c r="J15" s="10" t="n">
        <v>0.2224</v>
      </c>
      <c r="K15" s="9" t="n">
        <v>71.17</v>
      </c>
      <c r="L15" s="7" t="inlineStr">
        <is>
          <t>Volume</t>
        </is>
      </c>
      <c r="M15" s="9" t="n">
        <v>248.83</v>
      </c>
      <c r="N15" s="8" t="n">
        <v>139.48</v>
      </c>
      <c r="O15" s="8" t="n">
        <v>7.71</v>
      </c>
      <c r="P15" s="8" t="n">
        <v>8.42</v>
      </c>
      <c r="Q15" s="9" t="n">
        <v>155.61</v>
      </c>
      <c r="R15" s="9">
        <f>M15-Q15</f>
        <v/>
      </c>
      <c r="S15" s="10">
        <f>IF(M15=0,"-",(R15/M15))</f>
        <v/>
      </c>
      <c r="T15" s="11" t="n">
        <v>72</v>
      </c>
      <c r="U15" s="9">
        <f>M15*T15</f>
        <v/>
      </c>
      <c r="V15" s="9">
        <f>Q15*T15</f>
        <v/>
      </c>
      <c r="W15" s="9">
        <f>U15-V15</f>
        <v/>
      </c>
      <c r="X15" s="7" t="inlineStr">
        <is>
          <t>Changi Airport Group</t>
        </is>
      </c>
      <c r="Y15" s="7" t="inlineStr">
        <is>
          <t>End User</t>
        </is>
      </c>
      <c r="Z15" s="7" t="inlineStr">
        <is>
          <t>Port Authority Monitoring</t>
        </is>
      </c>
      <c r="AA15" s="7" t="inlineStr">
        <is>
          <t>Transport</t>
        </is>
      </c>
      <c r="AB15" s="7" t="inlineStr">
        <is>
          <t>Vietnam</t>
        </is>
      </c>
      <c r="AC15" s="7" t="inlineStr">
        <is>
          <t>Distribution</t>
        </is>
      </c>
      <c r="AD15" s="7" t="n">
        <v>2020</v>
      </c>
      <c r="AE15" s="7" t="inlineStr">
        <is>
          <t>Standalone</t>
        </is>
      </c>
      <c r="AF15" s="7" t="n">
        <v>12</v>
      </c>
      <c r="AG15" s="7" t="inlineStr">
        <is>
          <t>Gen 2</t>
        </is>
      </c>
      <c r="AH15" s="8" t="n">
        <v>259.76</v>
      </c>
      <c r="AI15" s="9" t="n">
        <v>-10.93</v>
      </c>
      <c r="AJ15" s="7" t="inlineStr"/>
    </row>
    <row r="16">
      <c r="A16" s="2" t="inlineStr">
        <is>
          <t>SKU-009</t>
        </is>
      </c>
      <c r="B16" s="2" t="inlineStr">
        <is>
          <t>Turret Cam 4MP</t>
        </is>
      </c>
      <c r="C16" s="2" t="inlineStr">
        <is>
          <t>Turret</t>
        </is>
      </c>
      <c r="D16" s="2" t="inlineStr">
        <is>
          <t>4MP</t>
        </is>
      </c>
      <c r="E16" s="2" t="inlineStr">
        <is>
          <t>IP</t>
        </is>
      </c>
      <c r="F16" s="2" t="inlineStr">
        <is>
          <t>Indoor</t>
        </is>
      </c>
      <c r="G16" s="2" t="inlineStr">
        <is>
          <t>IP65</t>
        </is>
      </c>
      <c r="H16" s="3" t="n">
        <v>290</v>
      </c>
      <c r="I16" s="4" t="n">
        <v>223.73</v>
      </c>
      <c r="J16" s="5" t="n">
        <v>0.2285</v>
      </c>
      <c r="K16" s="4" t="n">
        <v>66.27</v>
      </c>
      <c r="L16" s="2" t="inlineStr">
        <is>
          <t>Tender</t>
        </is>
      </c>
      <c r="M16" s="4" t="n">
        <v>223.73</v>
      </c>
      <c r="N16" s="3" t="n">
        <v>129.56</v>
      </c>
      <c r="O16" s="3" t="n">
        <v>7.97</v>
      </c>
      <c r="P16" s="3" t="n">
        <v>2.61</v>
      </c>
      <c r="Q16" s="4" t="n">
        <v>140.14</v>
      </c>
      <c r="R16" s="4">
        <f>M16-Q16</f>
        <v/>
      </c>
      <c r="S16" s="5">
        <f>IF(M16=0,"-",(R16/M16))</f>
        <v/>
      </c>
      <c r="T16" s="6" t="n">
        <v>51</v>
      </c>
      <c r="U16" s="4">
        <f>M16*T16</f>
        <v/>
      </c>
      <c r="V16" s="4">
        <f>Q16*T16</f>
        <v/>
      </c>
      <c r="W16" s="4">
        <f>U16-V16</f>
        <v/>
      </c>
      <c r="X16" s="2" t="inlineStr">
        <is>
          <t>SecureVision Pte Ltd</t>
        </is>
      </c>
      <c r="Y16" s="2" t="inlineStr">
        <is>
          <t>System Integrator</t>
        </is>
      </c>
      <c r="Z16" s="2" t="inlineStr">
        <is>
          <t>City Surveillance Phase 1</t>
        </is>
      </c>
      <c r="AA16" s="2" t="inlineStr">
        <is>
          <t>Industrial</t>
        </is>
      </c>
      <c r="AB16" s="2" t="inlineStr">
        <is>
          <t>Malaysia</t>
        </is>
      </c>
      <c r="AC16" s="2" t="inlineStr">
        <is>
          <t>Direct</t>
        </is>
      </c>
      <c r="AD16" s="2" t="n">
        <v>2020</v>
      </c>
      <c r="AE16" s="2" t="inlineStr">
        <is>
          <t>Standalone</t>
        </is>
      </c>
      <c r="AF16" s="2" t="n">
        <v>24</v>
      </c>
      <c r="AG16" s="2" t="inlineStr">
        <is>
          <t>Gen 1</t>
        </is>
      </c>
      <c r="AH16" s="3" t="n">
        <v>241.23</v>
      </c>
      <c r="AI16" s="4" t="n">
        <v>-17.5</v>
      </c>
      <c r="AJ16" s="2" t="inlineStr">
        <is>
          <t>Promotional period</t>
        </is>
      </c>
    </row>
    <row r="17">
      <c r="A17" s="7" t="inlineStr">
        <is>
          <t>SKU-005</t>
        </is>
      </c>
      <c r="B17" s="7" t="inlineStr">
        <is>
          <t>PTZ Cam 4MP</t>
        </is>
      </c>
      <c r="C17" s="7" t="inlineStr">
        <is>
          <t>PTZ</t>
        </is>
      </c>
      <c r="D17" s="7" t="inlineStr">
        <is>
          <t>4MP</t>
        </is>
      </c>
      <c r="E17" s="7" t="inlineStr">
        <is>
          <t>IP</t>
        </is>
      </c>
      <c r="F17" s="7" t="inlineStr">
        <is>
          <t>Outdoor</t>
        </is>
      </c>
      <c r="G17" s="7" t="inlineStr">
        <is>
          <t>IP66</t>
        </is>
      </c>
      <c r="H17" s="8" t="n">
        <v>950</v>
      </c>
      <c r="I17" s="9" t="n">
        <v>800.47</v>
      </c>
      <c r="J17" s="10" t="n">
        <v>0.1574</v>
      </c>
      <c r="K17" s="9" t="n">
        <v>149.53</v>
      </c>
      <c r="L17" s="7" t="inlineStr">
        <is>
          <t>Volume</t>
        </is>
      </c>
      <c r="M17" s="9" t="n">
        <v>800.47</v>
      </c>
      <c r="N17" s="8" t="n">
        <v>439.69</v>
      </c>
      <c r="O17" s="8" t="n">
        <v>38.67</v>
      </c>
      <c r="P17" s="8" t="n">
        <v>25.24</v>
      </c>
      <c r="Q17" s="9" t="n">
        <v>503.6</v>
      </c>
      <c r="R17" s="9">
        <f>M17-Q17</f>
        <v/>
      </c>
      <c r="S17" s="10">
        <f>IF(M17=0,"-",(R17/M17))</f>
        <v/>
      </c>
      <c r="T17" s="11" t="n">
        <v>9</v>
      </c>
      <c r="U17" s="9">
        <f>M17*T17</f>
        <v/>
      </c>
      <c r="V17" s="9">
        <f>Q17*T17</f>
        <v/>
      </c>
      <c r="W17" s="9">
        <f>U17-V17</f>
        <v/>
      </c>
      <c r="X17" s="7" t="inlineStr">
        <is>
          <t>SkyNet Resellers</t>
        </is>
      </c>
      <c r="Y17" s="7" t="inlineStr">
        <is>
          <t>Reseller</t>
        </is>
      </c>
      <c r="Z17" s="7" t="inlineStr">
        <is>
          <t>CBD Traffic Surveillance</t>
        </is>
      </c>
      <c r="AA17" s="7" t="inlineStr">
        <is>
          <t>Commercial</t>
        </is>
      </c>
      <c r="AB17" s="7" t="inlineStr">
        <is>
          <t>Philippines</t>
        </is>
      </c>
      <c r="AC17" s="7" t="inlineStr">
        <is>
          <t>Distribution</t>
        </is>
      </c>
      <c r="AD17" s="7" t="n">
        <v>2020</v>
      </c>
      <c r="AE17" s="7" t="inlineStr">
        <is>
          <t>Bundle</t>
        </is>
      </c>
      <c r="AF17" s="7" t="n">
        <v>24</v>
      </c>
      <c r="AG17" s="7" t="inlineStr">
        <is>
          <t>Gen 1</t>
        </is>
      </c>
      <c r="AH17" s="8" t="n">
        <v>765.72</v>
      </c>
      <c r="AI17" s="9" t="n">
        <v>34.75</v>
      </c>
      <c r="AJ17" s="7" t="inlineStr">
        <is>
          <t>Promotional period</t>
        </is>
      </c>
    </row>
    <row r="18">
      <c r="A18" s="2" t="inlineStr">
        <is>
          <t>SKU-009</t>
        </is>
      </c>
      <c r="B18" s="2" t="inlineStr">
        <is>
          <t>Turret Cam 4MP</t>
        </is>
      </c>
      <c r="C18" s="2" t="inlineStr">
        <is>
          <t>Turret</t>
        </is>
      </c>
      <c r="D18" s="2" t="inlineStr">
        <is>
          <t>4MP</t>
        </is>
      </c>
      <c r="E18" s="2" t="inlineStr">
        <is>
          <t>IP</t>
        </is>
      </c>
      <c r="F18" s="2" t="inlineStr">
        <is>
          <t>Indoor</t>
        </is>
      </c>
      <c r="G18" s="2" t="inlineStr">
        <is>
          <t>IP65</t>
        </is>
      </c>
      <c r="H18" s="3" t="n">
        <v>290</v>
      </c>
      <c r="I18" s="4" t="n">
        <v>266.31</v>
      </c>
      <c r="J18" s="5" t="n">
        <v>0.08169999999999999</v>
      </c>
      <c r="K18" s="4" t="n">
        <v>23.69</v>
      </c>
      <c r="L18" s="2" t="inlineStr">
        <is>
          <t>Volume</t>
        </is>
      </c>
      <c r="M18" s="4" t="n">
        <v>266.31</v>
      </c>
      <c r="N18" s="3" t="n">
        <v>127.19</v>
      </c>
      <c r="O18" s="3" t="n">
        <v>7.43</v>
      </c>
      <c r="P18" s="3" t="n">
        <v>8.210000000000001</v>
      </c>
      <c r="Q18" s="4" t="n">
        <v>142.83</v>
      </c>
      <c r="R18" s="4">
        <f>M18-Q18</f>
        <v/>
      </c>
      <c r="S18" s="5">
        <f>IF(M18=0,"-",(R18/M18))</f>
        <v/>
      </c>
      <c r="T18" s="6" t="n">
        <v>33</v>
      </c>
      <c r="U18" s="4">
        <f>M18*T18</f>
        <v/>
      </c>
      <c r="V18" s="4">
        <f>Q18*T18</f>
        <v/>
      </c>
      <c r="W18" s="4">
        <f>U18-V18</f>
        <v/>
      </c>
      <c r="X18" s="2" t="inlineStr">
        <is>
          <t>Harbour Trust</t>
        </is>
      </c>
      <c r="Y18" s="2" t="inlineStr">
        <is>
          <t>End User</t>
        </is>
      </c>
      <c r="Z18" s="2" t="inlineStr">
        <is>
          <t>Mall Security Rollout</t>
        </is>
      </c>
      <c r="AA18" s="2" t="inlineStr">
        <is>
          <t>Government</t>
        </is>
      </c>
      <c r="AB18" s="2" t="inlineStr">
        <is>
          <t>Vietnam</t>
        </is>
      </c>
      <c r="AC18" s="2" t="inlineStr">
        <is>
          <t>Direct</t>
        </is>
      </c>
      <c r="AD18" s="2" t="n">
        <v>2020</v>
      </c>
      <c r="AE18" s="2" t="inlineStr">
        <is>
          <t>Bundle</t>
        </is>
      </c>
      <c r="AF18" s="2" t="n">
        <v>36</v>
      </c>
      <c r="AG18" s="2" t="inlineStr">
        <is>
          <t>Gen 1</t>
        </is>
      </c>
      <c r="AH18" s="3" t="n">
        <v>252.15</v>
      </c>
      <c r="AI18" s="4" t="n">
        <v>14.16</v>
      </c>
      <c r="AJ18" s="2" t="inlineStr">
        <is>
          <t>Standard deal</t>
        </is>
      </c>
    </row>
    <row r="19">
      <c r="A19" s="7" t="inlineStr">
        <is>
          <t>SKU-010</t>
        </is>
      </c>
      <c r="B19" s="7" t="inlineStr">
        <is>
          <t>Turret Cam 8MP 4K AI</t>
        </is>
      </c>
      <c r="C19" s="7" t="inlineStr">
        <is>
          <t>Turret</t>
        </is>
      </c>
      <c r="D19" s="7" t="inlineStr">
        <is>
          <t>8MP (4K)</t>
        </is>
      </c>
      <c r="E19" s="7" t="inlineStr">
        <is>
          <t>AI-enabled</t>
        </is>
      </c>
      <c r="F19" s="7" t="inlineStr">
        <is>
          <t>Outdoor</t>
        </is>
      </c>
      <c r="G19" s="7" t="inlineStr">
        <is>
          <t>IP66</t>
        </is>
      </c>
      <c r="H19" s="8" t="n">
        <v>780</v>
      </c>
      <c r="I19" s="9" t="n">
        <v>702.7</v>
      </c>
      <c r="J19" s="10" t="n">
        <v>0.09909999999999999</v>
      </c>
      <c r="K19" s="9" t="n">
        <v>77.3</v>
      </c>
      <c r="L19" s="7" t="inlineStr">
        <is>
          <t>Loyalty</t>
        </is>
      </c>
      <c r="M19" s="9" t="n">
        <v>702.7</v>
      </c>
      <c r="N19" s="8" t="n">
        <v>345.77</v>
      </c>
      <c r="O19" s="8" t="n">
        <v>23.72</v>
      </c>
      <c r="P19" s="8" t="n">
        <v>9.18</v>
      </c>
      <c r="Q19" s="9" t="n">
        <v>378.67</v>
      </c>
      <c r="R19" s="9">
        <f>M19-Q19</f>
        <v/>
      </c>
      <c r="S19" s="10">
        <f>IF(M19=0,"-",(R19/M19))</f>
        <v/>
      </c>
      <c r="T19" s="11" t="n">
        <v>40</v>
      </c>
      <c r="U19" s="9">
        <f>M19*T19</f>
        <v/>
      </c>
      <c r="V19" s="9">
        <f>Q19*T19</f>
        <v/>
      </c>
      <c r="W19" s="9">
        <f>U19-V19</f>
        <v/>
      </c>
      <c r="X19" s="7" t="inlineStr">
        <is>
          <t>SafeCity Solutions</t>
        </is>
      </c>
      <c r="Y19" s="7" t="inlineStr">
        <is>
          <t>System Integrator</t>
        </is>
      </c>
      <c r="Z19" s="7" t="inlineStr">
        <is>
          <t>Smart City Initiative</t>
        </is>
      </c>
      <c r="AA19" s="7" t="inlineStr">
        <is>
          <t>Commercial</t>
        </is>
      </c>
      <c r="AB19" s="7" t="inlineStr">
        <is>
          <t>Vietnam</t>
        </is>
      </c>
      <c r="AC19" s="7" t="inlineStr">
        <is>
          <t>Online</t>
        </is>
      </c>
      <c r="AD19" s="7" t="n">
        <v>2020</v>
      </c>
      <c r="AE19" s="7" t="inlineStr">
        <is>
          <t>Standalone</t>
        </is>
      </c>
      <c r="AF19" s="7" t="n">
        <v>24</v>
      </c>
      <c r="AG19" s="7" t="inlineStr">
        <is>
          <t>Gen 1</t>
        </is>
      </c>
      <c r="AH19" s="8" t="n">
        <v>666.8</v>
      </c>
      <c r="AI19" s="9" t="n">
        <v>35.9</v>
      </c>
      <c r="AJ19" s="7" t="inlineStr">
        <is>
          <t>Standard deal</t>
        </is>
      </c>
    </row>
    <row r="20">
      <c r="A20" s="2" t="inlineStr">
        <is>
          <t>SKU-001</t>
        </is>
      </c>
      <c r="B20" s="2" t="inlineStr">
        <is>
          <t>Dome Cam 2MP Indoor</t>
        </is>
      </c>
      <c r="C20" s="2" t="inlineStr">
        <is>
          <t>Dome</t>
        </is>
      </c>
      <c r="D20" s="2" t="inlineStr">
        <is>
          <t>2MP</t>
        </is>
      </c>
      <c r="E20" s="2" t="inlineStr">
        <is>
          <t>IP</t>
        </is>
      </c>
      <c r="F20" s="2" t="inlineStr">
        <is>
          <t>Indoor</t>
        </is>
      </c>
      <c r="G20" s="2" t="inlineStr">
        <is>
          <t>IP65</t>
        </is>
      </c>
      <c r="H20" s="3" t="n">
        <v>180</v>
      </c>
      <c r="I20" s="4" t="n">
        <v>160.78</v>
      </c>
      <c r="J20" s="5" t="n">
        <v>0.1068</v>
      </c>
      <c r="K20" s="4" t="n">
        <v>19.22</v>
      </c>
      <c r="L20" s="2" t="inlineStr">
        <is>
          <t>Loyalty</t>
        </is>
      </c>
      <c r="M20" s="4" t="n">
        <v>160.78</v>
      </c>
      <c r="N20" s="3" t="n">
        <v>77.06</v>
      </c>
      <c r="O20" s="3" t="n">
        <v>4.22</v>
      </c>
      <c r="P20" s="3" t="n">
        <v>2.48</v>
      </c>
      <c r="Q20" s="4" t="n">
        <v>83.76000000000001</v>
      </c>
      <c r="R20" s="4">
        <f>M20-Q20</f>
        <v/>
      </c>
      <c r="S20" s="5">
        <f>IF(M20=0,"-",(R20/M20))</f>
        <v/>
      </c>
      <c r="T20" s="6" t="n">
        <v>38</v>
      </c>
      <c r="U20" s="4">
        <f>M20*T20</f>
        <v/>
      </c>
      <c r="V20" s="4">
        <f>Q20*T20</f>
        <v/>
      </c>
      <c r="W20" s="4">
        <f>U20-V20</f>
        <v/>
      </c>
      <c r="X20" s="2" t="inlineStr">
        <is>
          <t>Pacific Security Hub</t>
        </is>
      </c>
      <c r="Y20" s="2" t="inlineStr">
        <is>
          <t>Distributor</t>
        </is>
      </c>
      <c r="Z20" s="2" t="inlineStr">
        <is>
          <t>Public Housing CCTV Program</t>
        </is>
      </c>
      <c r="AA20" s="2" t="inlineStr">
        <is>
          <t>Education</t>
        </is>
      </c>
      <c r="AB20" s="2" t="inlineStr">
        <is>
          <t>Singapore</t>
        </is>
      </c>
      <c r="AC20" s="2" t="inlineStr">
        <is>
          <t>Direct</t>
        </is>
      </c>
      <c r="AD20" s="2" t="n">
        <v>2020</v>
      </c>
      <c r="AE20" s="2" t="inlineStr">
        <is>
          <t>Bundle</t>
        </is>
      </c>
      <c r="AF20" s="2" t="n">
        <v>36</v>
      </c>
      <c r="AG20" s="2" t="inlineStr">
        <is>
          <t>Gen 2</t>
        </is>
      </c>
      <c r="AH20" s="3" t="n">
        <v>147.41</v>
      </c>
      <c r="AI20" s="4" t="n">
        <v>13.37</v>
      </c>
      <c r="AJ20" s="2" t="inlineStr">
        <is>
          <t>Rush order</t>
        </is>
      </c>
    </row>
    <row r="21">
      <c r="A21" s="7" t="inlineStr">
        <is>
          <t>SKU-005</t>
        </is>
      </c>
      <c r="B21" s="7" t="inlineStr">
        <is>
          <t>PTZ Cam 4MP</t>
        </is>
      </c>
      <c r="C21" s="7" t="inlineStr">
        <is>
          <t>PTZ</t>
        </is>
      </c>
      <c r="D21" s="7" t="inlineStr">
        <is>
          <t>4MP</t>
        </is>
      </c>
      <c r="E21" s="7" t="inlineStr">
        <is>
          <t>IP</t>
        </is>
      </c>
      <c r="F21" s="7" t="inlineStr">
        <is>
          <t>Outdoor</t>
        </is>
      </c>
      <c r="G21" s="7" t="inlineStr">
        <is>
          <t>IP66</t>
        </is>
      </c>
      <c r="H21" s="8" t="n">
        <v>950</v>
      </c>
      <c r="I21" s="9" t="n">
        <v>899.1799999999999</v>
      </c>
      <c r="J21" s="10" t="n">
        <v>0.0535</v>
      </c>
      <c r="K21" s="9" t="n">
        <v>50.82</v>
      </c>
      <c r="L21" s="7" t="inlineStr">
        <is>
          <t>Distributor</t>
        </is>
      </c>
      <c r="M21" s="9" t="n">
        <v>899.1799999999999</v>
      </c>
      <c r="N21" s="8" t="n">
        <v>403.85</v>
      </c>
      <c r="O21" s="8" t="n">
        <v>35.83</v>
      </c>
      <c r="P21" s="8" t="n">
        <v>13.58</v>
      </c>
      <c r="Q21" s="9" t="n">
        <v>453.26</v>
      </c>
      <c r="R21" s="9">
        <f>M21-Q21</f>
        <v/>
      </c>
      <c r="S21" s="10">
        <f>IF(M21=0,"-",(R21/M21))</f>
        <v/>
      </c>
      <c r="T21" s="11" t="n">
        <v>79</v>
      </c>
      <c r="U21" s="9">
        <f>M21*T21</f>
        <v/>
      </c>
      <c r="V21" s="9">
        <f>Q21*T21</f>
        <v/>
      </c>
      <c r="W21" s="9">
        <f>U21-V21</f>
        <v/>
      </c>
      <c r="X21" s="7" t="inlineStr">
        <is>
          <t>SmartBuild Integrators</t>
        </is>
      </c>
      <c r="Y21" s="7" t="inlineStr">
        <is>
          <t>System Integrator</t>
        </is>
      </c>
      <c r="Z21" s="7" t="inlineStr">
        <is>
          <t>CBD Traffic Surveillance</t>
        </is>
      </c>
      <c r="AA21" s="7" t="inlineStr">
        <is>
          <t>Government</t>
        </is>
      </c>
      <c r="AB21" s="7" t="inlineStr">
        <is>
          <t>Philippines</t>
        </is>
      </c>
      <c r="AC21" s="7" t="inlineStr">
        <is>
          <t>Online</t>
        </is>
      </c>
      <c r="AD21" s="7" t="n">
        <v>2020</v>
      </c>
      <c r="AE21" s="7" t="inlineStr">
        <is>
          <t>Bundle</t>
        </is>
      </c>
      <c r="AF21" s="7" t="n">
        <v>12</v>
      </c>
      <c r="AG21" s="7" t="inlineStr">
        <is>
          <t>Gen 2</t>
        </is>
      </c>
      <c r="AH21" s="8" t="n">
        <v>784.01</v>
      </c>
      <c r="AI21" s="9" t="n">
        <v>115.17</v>
      </c>
      <c r="AJ21" s="7" t="inlineStr">
        <is>
          <t>End-of-life stock</t>
        </is>
      </c>
    </row>
    <row r="22">
      <c r="A22" s="2" t="inlineStr">
        <is>
          <t>SKU-004</t>
        </is>
      </c>
      <c r="B22" s="2" t="inlineStr">
        <is>
          <t>Bullet Cam 4MP AI</t>
        </is>
      </c>
      <c r="C22" s="2" t="inlineStr">
        <is>
          <t>Bullet</t>
        </is>
      </c>
      <c r="D22" s="2" t="inlineStr">
        <is>
          <t>4MP</t>
        </is>
      </c>
      <c r="E22" s="2" t="inlineStr">
        <is>
          <t>AI-enabled</t>
        </is>
      </c>
      <c r="F22" s="2" t="inlineStr">
        <is>
          <t>Outdoor</t>
        </is>
      </c>
      <c r="G22" s="2" t="inlineStr">
        <is>
          <t>IP67</t>
        </is>
      </c>
      <c r="H22" s="3" t="n">
        <v>480</v>
      </c>
      <c r="I22" s="4" t="n">
        <v>384.19</v>
      </c>
      <c r="J22" s="5" t="n">
        <v>0.1996</v>
      </c>
      <c r="K22" s="4" t="n">
        <v>95.81</v>
      </c>
      <c r="L22" s="2" t="inlineStr">
        <is>
          <t>Project Bid</t>
        </is>
      </c>
      <c r="M22" s="4" t="n">
        <v>384.19</v>
      </c>
      <c r="N22" s="3" t="n">
        <v>199.57</v>
      </c>
      <c r="O22" s="3" t="n">
        <v>18.88</v>
      </c>
      <c r="P22" s="3" t="n">
        <v>6.61</v>
      </c>
      <c r="Q22" s="4" t="n">
        <v>225.06</v>
      </c>
      <c r="R22" s="4">
        <f>M22-Q22</f>
        <v/>
      </c>
      <c r="S22" s="5">
        <f>IF(M22=0,"-",(R22/M22))</f>
        <v/>
      </c>
      <c r="T22" s="6" t="n">
        <v>58</v>
      </c>
      <c r="U22" s="4">
        <f>M22*T22</f>
        <v/>
      </c>
      <c r="V22" s="4">
        <f>Q22*T22</f>
        <v/>
      </c>
      <c r="W22" s="4">
        <f>U22-V22</f>
        <v/>
      </c>
      <c r="X22" s="2" t="inlineStr">
        <is>
          <t>TechDist Asia</t>
        </is>
      </c>
      <c r="Y22" s="2" t="inlineStr">
        <is>
          <t>Distributor</t>
        </is>
      </c>
      <c r="Z22" s="2" t="inlineStr">
        <is>
          <t>CBD Traffic Surveillance</t>
        </is>
      </c>
      <c r="AA22" s="2" t="inlineStr">
        <is>
          <t>Healthcare</t>
        </is>
      </c>
      <c r="AB22" s="2" t="inlineStr">
        <is>
          <t>Indonesia</t>
        </is>
      </c>
      <c r="AC22" s="2" t="inlineStr">
        <is>
          <t>Direct</t>
        </is>
      </c>
      <c r="AD22" s="2" t="n">
        <v>2020</v>
      </c>
      <c r="AE22" s="2" t="inlineStr">
        <is>
          <t>Standalone</t>
        </is>
      </c>
      <c r="AF22" s="2" t="n">
        <v>24</v>
      </c>
      <c r="AG22" s="2" t="inlineStr">
        <is>
          <t>Gen 1</t>
        </is>
      </c>
      <c r="AH22" s="3" t="n">
        <v>415.78</v>
      </c>
      <c r="AI22" s="4" t="n">
        <v>-31.59</v>
      </c>
      <c r="AJ22" s="2" t="inlineStr">
        <is>
          <t>Promotional period</t>
        </is>
      </c>
    </row>
    <row r="23">
      <c r="A23" s="7" t="inlineStr">
        <is>
          <t>SKU-009</t>
        </is>
      </c>
      <c r="B23" s="7" t="inlineStr">
        <is>
          <t>Turret Cam 4MP</t>
        </is>
      </c>
      <c r="C23" s="7" t="inlineStr">
        <is>
          <t>Turret</t>
        </is>
      </c>
      <c r="D23" s="7" t="inlineStr">
        <is>
          <t>4MP</t>
        </is>
      </c>
      <c r="E23" s="7" t="inlineStr">
        <is>
          <t>IP</t>
        </is>
      </c>
      <c r="F23" s="7" t="inlineStr">
        <is>
          <t>Indoor</t>
        </is>
      </c>
      <c r="G23" s="7" t="inlineStr">
        <is>
          <t>IP65</t>
        </is>
      </c>
      <c r="H23" s="8" t="n">
        <v>290</v>
      </c>
      <c r="I23" s="9" t="n">
        <v>278.63</v>
      </c>
      <c r="J23" s="10" t="n">
        <v>0.0392</v>
      </c>
      <c r="K23" s="9" t="n">
        <v>11.37</v>
      </c>
      <c r="L23" s="7" t="inlineStr">
        <is>
          <t>Loyalty</t>
        </is>
      </c>
      <c r="M23" s="9" t="n">
        <v>278.63</v>
      </c>
      <c r="N23" s="8" t="n">
        <v>124.12</v>
      </c>
      <c r="O23" s="8" t="n">
        <v>9.369999999999999</v>
      </c>
      <c r="P23" s="8" t="n">
        <v>8.27</v>
      </c>
      <c r="Q23" s="9" t="n">
        <v>141.76</v>
      </c>
      <c r="R23" s="9">
        <f>M23-Q23</f>
        <v/>
      </c>
      <c r="S23" s="10">
        <f>IF(M23=0,"-",(R23/M23))</f>
        <v/>
      </c>
      <c r="T23" s="11" t="n">
        <v>7</v>
      </c>
      <c r="U23" s="9">
        <f>M23*T23</f>
        <v/>
      </c>
      <c r="V23" s="9">
        <f>Q23*T23</f>
        <v/>
      </c>
      <c r="W23" s="9">
        <f>U23-V23</f>
        <v/>
      </c>
      <c r="X23" s="7" t="inlineStr">
        <is>
          <t>SecureVision Pte Ltd</t>
        </is>
      </c>
      <c r="Y23" s="7" t="inlineStr">
        <is>
          <t>System Integrator</t>
        </is>
      </c>
      <c r="Z23" s="7" t="inlineStr">
        <is>
          <t>City Surveillance Phase 1</t>
        </is>
      </c>
      <c r="AA23" s="7" t="inlineStr">
        <is>
          <t>Government</t>
        </is>
      </c>
      <c r="AB23" s="7" t="inlineStr">
        <is>
          <t>Philippines</t>
        </is>
      </c>
      <c r="AC23" s="7" t="inlineStr">
        <is>
          <t>Direct</t>
        </is>
      </c>
      <c r="AD23" s="7" t="n">
        <v>2020</v>
      </c>
      <c r="AE23" s="7" t="inlineStr">
        <is>
          <t>Bundle</t>
        </is>
      </c>
      <c r="AF23" s="7" t="n">
        <v>24</v>
      </c>
      <c r="AG23" s="7" t="inlineStr">
        <is>
          <t>Gen 1</t>
        </is>
      </c>
      <c r="AH23" s="8" t="n">
        <v>263.28</v>
      </c>
      <c r="AI23" s="9" t="n">
        <v>15.35</v>
      </c>
      <c r="AJ23" s="7" t="inlineStr">
        <is>
          <t>Matched quote</t>
        </is>
      </c>
    </row>
    <row r="24">
      <c r="A24" s="2" t="inlineStr">
        <is>
          <t>SKU-004</t>
        </is>
      </c>
      <c r="B24" s="2" t="inlineStr">
        <is>
          <t>Bullet Cam 4MP AI</t>
        </is>
      </c>
      <c r="C24" s="2" t="inlineStr">
        <is>
          <t>Bullet</t>
        </is>
      </c>
      <c r="D24" s="2" t="inlineStr">
        <is>
          <t>4MP</t>
        </is>
      </c>
      <c r="E24" s="2" t="inlineStr">
        <is>
          <t>AI-enabled</t>
        </is>
      </c>
      <c r="F24" s="2" t="inlineStr">
        <is>
          <t>Outdoor</t>
        </is>
      </c>
      <c r="G24" s="2" t="inlineStr">
        <is>
          <t>IP67</t>
        </is>
      </c>
      <c r="H24" s="3" t="n">
        <v>480</v>
      </c>
      <c r="I24" s="4" t="n">
        <v>379.97</v>
      </c>
      <c r="J24" s="5" t="n">
        <v>0.2084</v>
      </c>
      <c r="K24" s="4" t="n">
        <v>100.03</v>
      </c>
      <c r="L24" s="2" t="inlineStr">
        <is>
          <t>Loyalty</t>
        </is>
      </c>
      <c r="M24" s="4" t="n">
        <v>379.97</v>
      </c>
      <c r="N24" s="3" t="n">
        <v>220</v>
      </c>
      <c r="O24" s="3" t="n">
        <v>24.57</v>
      </c>
      <c r="P24" s="3" t="n">
        <v>4.67</v>
      </c>
      <c r="Q24" s="4" t="n">
        <v>249.24</v>
      </c>
      <c r="R24" s="4">
        <f>M24-Q24</f>
        <v/>
      </c>
      <c r="S24" s="5">
        <f>IF(M24=0,"-",(R24/M24))</f>
        <v/>
      </c>
      <c r="T24" s="6" t="n">
        <v>44</v>
      </c>
      <c r="U24" s="4">
        <f>M24*T24</f>
        <v/>
      </c>
      <c r="V24" s="4">
        <f>Q24*T24</f>
        <v/>
      </c>
      <c r="W24" s="4">
        <f>U24-V24</f>
        <v/>
      </c>
      <c r="X24" s="2" t="inlineStr">
        <is>
          <t>SafeCity Solutions</t>
        </is>
      </c>
      <c r="Y24" s="2" t="inlineStr">
        <is>
          <t>System Integrator</t>
        </is>
      </c>
      <c r="Z24" s="2" t="inlineStr">
        <is>
          <t>Hospital Perimeter Security</t>
        </is>
      </c>
      <c r="AA24" s="2" t="inlineStr">
        <is>
          <t>Industrial</t>
        </is>
      </c>
      <c r="AB24" s="2" t="inlineStr">
        <is>
          <t>Vietnam</t>
        </is>
      </c>
      <c r="AC24" s="2" t="inlineStr">
        <is>
          <t>Distribution</t>
        </is>
      </c>
      <c r="AD24" s="2" t="n">
        <v>2020</v>
      </c>
      <c r="AE24" s="2" t="inlineStr">
        <is>
          <t>Bundle</t>
        </is>
      </c>
      <c r="AF24" s="2" t="n">
        <v>12</v>
      </c>
      <c r="AG24" s="2" t="inlineStr">
        <is>
          <t>Gen 1</t>
        </is>
      </c>
      <c r="AH24" s="3" t="n">
        <v>429.07</v>
      </c>
      <c r="AI24" s="4" t="n">
        <v>-49.1</v>
      </c>
      <c r="AJ24" s="2" t="inlineStr">
        <is>
          <t>Promotional period</t>
        </is>
      </c>
    </row>
    <row r="25">
      <c r="A25" s="7" t="inlineStr">
        <is>
          <t>SKU-004</t>
        </is>
      </c>
      <c r="B25" s="7" t="inlineStr">
        <is>
          <t>Bullet Cam 4MP AI</t>
        </is>
      </c>
      <c r="C25" s="7" t="inlineStr">
        <is>
          <t>Bullet</t>
        </is>
      </c>
      <c r="D25" s="7" t="inlineStr">
        <is>
          <t>4MP</t>
        </is>
      </c>
      <c r="E25" s="7" t="inlineStr">
        <is>
          <t>AI-enabled</t>
        </is>
      </c>
      <c r="F25" s="7" t="inlineStr">
        <is>
          <t>Outdoor</t>
        </is>
      </c>
      <c r="G25" s="7" t="inlineStr">
        <is>
          <t>IP67</t>
        </is>
      </c>
      <c r="H25" s="8" t="n">
        <v>480</v>
      </c>
      <c r="I25" s="9" t="n">
        <v>368.59</v>
      </c>
      <c r="J25" s="10" t="n">
        <v>0.2321</v>
      </c>
      <c r="K25" s="9" t="n">
        <v>111.41</v>
      </c>
      <c r="L25" s="7" t="inlineStr">
        <is>
          <t>Tender</t>
        </is>
      </c>
      <c r="M25" s="9" t="n">
        <v>368.59</v>
      </c>
      <c r="N25" s="8" t="n">
        <v>203.69</v>
      </c>
      <c r="O25" s="8" t="n">
        <v>15.17</v>
      </c>
      <c r="P25" s="8" t="n">
        <v>12.43</v>
      </c>
      <c r="Q25" s="9" t="n">
        <v>231.29</v>
      </c>
      <c r="R25" s="9">
        <f>M25-Q25</f>
        <v/>
      </c>
      <c r="S25" s="10">
        <f>IF(M25=0,"-",(R25/M25))</f>
        <v/>
      </c>
      <c r="T25" s="11" t="n">
        <v>31</v>
      </c>
      <c r="U25" s="9">
        <f>M25*T25</f>
        <v/>
      </c>
      <c r="V25" s="9">
        <f>Q25*T25</f>
        <v/>
      </c>
      <c r="W25" s="9">
        <f>U25-V25</f>
        <v/>
      </c>
      <c r="X25" s="7" t="inlineStr">
        <is>
          <t>TechDist Asia</t>
        </is>
      </c>
      <c r="Y25" s="7" t="inlineStr">
        <is>
          <t>Distributor</t>
        </is>
      </c>
      <c r="Z25" s="7" t="inlineStr">
        <is>
          <t>Mall Security Rollout</t>
        </is>
      </c>
      <c r="AA25" s="7" t="inlineStr">
        <is>
          <t>Industrial</t>
        </is>
      </c>
      <c r="AB25" s="7" t="inlineStr">
        <is>
          <t>Philippines</t>
        </is>
      </c>
      <c r="AC25" s="7" t="inlineStr">
        <is>
          <t>Direct</t>
        </is>
      </c>
      <c r="AD25" s="7" t="n">
        <v>2020</v>
      </c>
      <c r="AE25" s="7" t="inlineStr">
        <is>
          <t>Bundle</t>
        </is>
      </c>
      <c r="AF25" s="7" t="n">
        <v>24</v>
      </c>
      <c r="AG25" s="7" t="inlineStr">
        <is>
          <t>Gen 1</t>
        </is>
      </c>
      <c r="AH25" s="8" t="n">
        <v>396.84</v>
      </c>
      <c r="AI25" s="9" t="n">
        <v>-28.25</v>
      </c>
      <c r="AJ25" s="7" t="inlineStr"/>
    </row>
    <row r="26">
      <c r="A26" s="2" t="inlineStr">
        <is>
          <t>SKU-004</t>
        </is>
      </c>
      <c r="B26" s="2" t="inlineStr">
        <is>
          <t>Bullet Cam 4MP AI</t>
        </is>
      </c>
      <c r="C26" s="2" t="inlineStr">
        <is>
          <t>Bullet</t>
        </is>
      </c>
      <c r="D26" s="2" t="inlineStr">
        <is>
          <t>4MP</t>
        </is>
      </c>
      <c r="E26" s="2" t="inlineStr">
        <is>
          <t>AI-enabled</t>
        </is>
      </c>
      <c r="F26" s="2" t="inlineStr">
        <is>
          <t>Outdoor</t>
        </is>
      </c>
      <c r="G26" s="2" t="inlineStr">
        <is>
          <t>IP67</t>
        </is>
      </c>
      <c r="H26" s="3" t="n">
        <v>480</v>
      </c>
      <c r="I26" s="4" t="n">
        <v>453.41</v>
      </c>
      <c r="J26" s="5" t="n">
        <v>0.0554</v>
      </c>
      <c r="K26" s="4" t="n">
        <v>26.59</v>
      </c>
      <c r="L26" s="2" t="inlineStr">
        <is>
          <t>Distributor</t>
        </is>
      </c>
      <c r="M26" s="4" t="n">
        <v>453.41</v>
      </c>
      <c r="N26" s="3" t="n">
        <v>219.22</v>
      </c>
      <c r="O26" s="3" t="n">
        <v>25.85</v>
      </c>
      <c r="P26" s="3" t="n">
        <v>6.34</v>
      </c>
      <c r="Q26" s="4" t="n">
        <v>251.41</v>
      </c>
      <c r="R26" s="4">
        <f>M26-Q26</f>
        <v/>
      </c>
      <c r="S26" s="5">
        <f>IF(M26=0,"-",(R26/M26))</f>
        <v/>
      </c>
      <c r="T26" s="6" t="n">
        <v>35</v>
      </c>
      <c r="U26" s="4">
        <f>M26*T26</f>
        <v/>
      </c>
      <c r="V26" s="4">
        <f>Q26*T26</f>
        <v/>
      </c>
      <c r="W26" s="4">
        <f>U26-V26</f>
        <v/>
      </c>
      <c r="X26" s="2" t="inlineStr">
        <is>
          <t>SkyNet Resellers</t>
        </is>
      </c>
      <c r="Y26" s="2" t="inlineStr">
        <is>
          <t>Reseller</t>
        </is>
      </c>
      <c r="Z26" s="2" t="inlineStr">
        <is>
          <t>Hospital Perimeter Security</t>
        </is>
      </c>
      <c r="AA26" s="2" t="inlineStr">
        <is>
          <t>Retail</t>
        </is>
      </c>
      <c r="AB26" s="2" t="inlineStr">
        <is>
          <t>Singapore</t>
        </is>
      </c>
      <c r="AC26" s="2" t="inlineStr">
        <is>
          <t>Distribution</t>
        </is>
      </c>
      <c r="AD26" s="2" t="n">
        <v>2020</v>
      </c>
      <c r="AE26" s="2" t="inlineStr">
        <is>
          <t>Standalone</t>
        </is>
      </c>
      <c r="AF26" s="2" t="n">
        <v>36</v>
      </c>
      <c r="AG26" s="2" t="inlineStr">
        <is>
          <t>Gen 2</t>
        </is>
      </c>
      <c r="AH26" s="3" t="n">
        <v>386.2</v>
      </c>
      <c r="AI26" s="4" t="n">
        <v>67.20999999999999</v>
      </c>
      <c r="AJ26" s="2" t="inlineStr">
        <is>
          <t>Rush order</t>
        </is>
      </c>
    </row>
    <row r="27">
      <c r="A27" s="7" t="inlineStr">
        <is>
          <t>SKU-007</t>
        </is>
      </c>
      <c r="B27" s="7" t="inlineStr">
        <is>
          <t>Fisheye Cam 4MP</t>
        </is>
      </c>
      <c r="C27" s="7" t="inlineStr">
        <is>
          <t>Fisheye</t>
        </is>
      </c>
      <c r="D27" s="7" t="inlineStr">
        <is>
          <t>4MP</t>
        </is>
      </c>
      <c r="E27" s="7" t="inlineStr">
        <is>
          <t>IP</t>
        </is>
      </c>
      <c r="F27" s="7" t="inlineStr">
        <is>
          <t>Indoor</t>
        </is>
      </c>
      <c r="G27" s="7" t="inlineStr">
        <is>
          <t>IP65</t>
        </is>
      </c>
      <c r="H27" s="8" t="n">
        <v>620</v>
      </c>
      <c r="I27" s="9" t="n">
        <v>504.74</v>
      </c>
      <c r="J27" s="10" t="n">
        <v>0.1859</v>
      </c>
      <c r="K27" s="9" t="n">
        <v>115.26</v>
      </c>
      <c r="L27" s="7" t="inlineStr">
        <is>
          <t>Project Bid</t>
        </is>
      </c>
      <c r="M27" s="9" t="n">
        <v>504.74</v>
      </c>
      <c r="N27" s="8" t="n">
        <v>263.38</v>
      </c>
      <c r="O27" s="8" t="n">
        <v>13.2</v>
      </c>
      <c r="P27" s="8" t="n">
        <v>17.46</v>
      </c>
      <c r="Q27" s="9" t="n">
        <v>294.04</v>
      </c>
      <c r="R27" s="9">
        <f>M27-Q27</f>
        <v/>
      </c>
      <c r="S27" s="10">
        <f>IF(M27=0,"-",(R27/M27))</f>
        <v/>
      </c>
      <c r="T27" s="11" t="n">
        <v>70</v>
      </c>
      <c r="U27" s="9">
        <f>M27*T27</f>
        <v/>
      </c>
      <c r="V27" s="9">
        <f>Q27*T27</f>
        <v/>
      </c>
      <c r="W27" s="9">
        <f>U27-V27</f>
        <v/>
      </c>
      <c r="X27" s="7" t="inlineStr">
        <is>
          <t>Metro Retail Group</t>
        </is>
      </c>
      <c r="Y27" s="7" t="inlineStr">
        <is>
          <t>End User</t>
        </is>
      </c>
      <c r="Z27" s="7" t="inlineStr">
        <is>
          <t>Hospital Perimeter Security</t>
        </is>
      </c>
      <c r="AA27" s="7" t="inlineStr">
        <is>
          <t>Healthcare</t>
        </is>
      </c>
      <c r="AB27" s="7" t="inlineStr">
        <is>
          <t>Vietnam</t>
        </is>
      </c>
      <c r="AC27" s="7" t="inlineStr">
        <is>
          <t>Online</t>
        </is>
      </c>
      <c r="AD27" s="7" t="n">
        <v>2020</v>
      </c>
      <c r="AE27" s="7" t="inlineStr">
        <is>
          <t>Standalone</t>
        </is>
      </c>
      <c r="AF27" s="7" t="n">
        <v>36</v>
      </c>
      <c r="AG27" s="7" t="inlineStr">
        <is>
          <t>Gen 1</t>
        </is>
      </c>
      <c r="AH27" s="8" t="n">
        <v>547.1</v>
      </c>
      <c r="AI27" s="9" t="n">
        <v>-42.36</v>
      </c>
      <c r="AJ27" s="7" t="inlineStr"/>
    </row>
    <row r="28">
      <c r="A28" s="2" t="inlineStr">
        <is>
          <t>SKU-004</t>
        </is>
      </c>
      <c r="B28" s="2" t="inlineStr">
        <is>
          <t>Bullet Cam 4MP AI</t>
        </is>
      </c>
      <c r="C28" s="2" t="inlineStr">
        <is>
          <t>Bullet</t>
        </is>
      </c>
      <c r="D28" s="2" t="inlineStr">
        <is>
          <t>4MP</t>
        </is>
      </c>
      <c r="E28" s="2" t="inlineStr">
        <is>
          <t>AI-enabled</t>
        </is>
      </c>
      <c r="F28" s="2" t="inlineStr">
        <is>
          <t>Outdoor</t>
        </is>
      </c>
      <c r="G28" s="2" t="inlineStr">
        <is>
          <t>IP67</t>
        </is>
      </c>
      <c r="H28" s="3" t="n">
        <v>480</v>
      </c>
      <c r="I28" s="4" t="n">
        <v>433.87</v>
      </c>
      <c r="J28" s="5" t="n">
        <v>0.0961</v>
      </c>
      <c r="K28" s="4" t="n">
        <v>46.13</v>
      </c>
      <c r="L28" s="2" t="inlineStr">
        <is>
          <t>Loyalty</t>
        </is>
      </c>
      <c r="M28" s="4" t="n">
        <v>433.87</v>
      </c>
      <c r="N28" s="3" t="n">
        <v>214.61</v>
      </c>
      <c r="O28" s="3" t="n">
        <v>15.38</v>
      </c>
      <c r="P28" s="3" t="n">
        <v>8.67</v>
      </c>
      <c r="Q28" s="4" t="n">
        <v>238.66</v>
      </c>
      <c r="R28" s="4">
        <f>M28-Q28</f>
        <v/>
      </c>
      <c r="S28" s="5">
        <f>IF(M28=0,"-",(R28/M28))</f>
        <v/>
      </c>
      <c r="T28" s="6" t="n">
        <v>53</v>
      </c>
      <c r="U28" s="4">
        <f>M28*T28</f>
        <v/>
      </c>
      <c r="V28" s="4">
        <f>Q28*T28</f>
        <v/>
      </c>
      <c r="W28" s="4">
        <f>U28-V28</f>
        <v/>
      </c>
      <c r="X28" s="2" t="inlineStr">
        <is>
          <t>Metro Retail Group</t>
        </is>
      </c>
      <c r="Y28" s="2" t="inlineStr">
        <is>
          <t>End User</t>
        </is>
      </c>
      <c r="Z28" s="2" t="inlineStr">
        <is>
          <t>Smart City Initiative</t>
        </is>
      </c>
      <c r="AA28" s="2" t="inlineStr">
        <is>
          <t>Government</t>
        </is>
      </c>
      <c r="AB28" s="2" t="inlineStr">
        <is>
          <t>Philippines</t>
        </is>
      </c>
      <c r="AC28" s="2" t="inlineStr">
        <is>
          <t>Distribution</t>
        </is>
      </c>
      <c r="AD28" s="2" t="n">
        <v>2020</v>
      </c>
      <c r="AE28" s="2" t="inlineStr">
        <is>
          <t>Standalone</t>
        </is>
      </c>
      <c r="AF28" s="2" t="n">
        <v>36</v>
      </c>
      <c r="AG28" s="2" t="inlineStr">
        <is>
          <t>Gen 1</t>
        </is>
      </c>
      <c r="AH28" s="3" t="n">
        <v>424.16</v>
      </c>
      <c r="AI28" s="4" t="n">
        <v>9.710000000000001</v>
      </c>
      <c r="AJ28" s="2" t="inlineStr">
        <is>
          <t>Rush order</t>
        </is>
      </c>
    </row>
    <row r="29">
      <c r="A29" s="7" t="inlineStr">
        <is>
          <t>SKU-003</t>
        </is>
      </c>
      <c r="B29" s="7" t="inlineStr">
        <is>
          <t>Bullet Cam 2MP</t>
        </is>
      </c>
      <c r="C29" s="7" t="inlineStr">
        <is>
          <t>Bullet</t>
        </is>
      </c>
      <c r="D29" s="7" t="inlineStr">
        <is>
          <t>2MP</t>
        </is>
      </c>
      <c r="E29" s="7" t="inlineStr">
        <is>
          <t>Analog</t>
        </is>
      </c>
      <c r="F29" s="7" t="inlineStr">
        <is>
          <t>Outdoor</t>
        </is>
      </c>
      <c r="G29" s="7" t="inlineStr">
        <is>
          <t>IP66</t>
        </is>
      </c>
      <c r="H29" s="8" t="n">
        <v>150</v>
      </c>
      <c r="I29" s="9" t="n">
        <v>138.57</v>
      </c>
      <c r="J29" s="10" t="n">
        <v>0.0762</v>
      </c>
      <c r="K29" s="9" t="n">
        <v>11.43</v>
      </c>
      <c r="L29" s="7" t="inlineStr">
        <is>
          <t>Volume</t>
        </is>
      </c>
      <c r="M29" s="9" t="n">
        <v>138.57</v>
      </c>
      <c r="N29" s="8" t="n">
        <v>63.73</v>
      </c>
      <c r="O29" s="8" t="n">
        <v>6.69</v>
      </c>
      <c r="P29" s="8" t="n">
        <v>3.21</v>
      </c>
      <c r="Q29" s="9" t="n">
        <v>73.63</v>
      </c>
      <c r="R29" s="9">
        <f>M29-Q29</f>
        <v/>
      </c>
      <c r="S29" s="10">
        <f>IF(M29=0,"-",(R29/M29))</f>
        <v/>
      </c>
      <c r="T29" s="11" t="n">
        <v>43</v>
      </c>
      <c r="U29" s="9">
        <f>M29*T29</f>
        <v/>
      </c>
      <c r="V29" s="9">
        <f>Q29*T29</f>
        <v/>
      </c>
      <c r="W29" s="9">
        <f>U29-V29</f>
        <v/>
      </c>
      <c r="X29" s="7" t="inlineStr">
        <is>
          <t>Changi Airport Group</t>
        </is>
      </c>
      <c r="Y29" s="7" t="inlineStr">
        <is>
          <t>End User</t>
        </is>
      </c>
      <c r="Z29" s="7" t="inlineStr">
        <is>
          <t>Smart City Initiative</t>
        </is>
      </c>
      <c r="AA29" s="7" t="inlineStr">
        <is>
          <t>Commercial</t>
        </is>
      </c>
      <c r="AB29" s="7" t="inlineStr">
        <is>
          <t>Thailand</t>
        </is>
      </c>
      <c r="AC29" s="7" t="inlineStr">
        <is>
          <t>Online</t>
        </is>
      </c>
      <c r="AD29" s="7" t="n">
        <v>2020</v>
      </c>
      <c r="AE29" s="7" t="inlineStr">
        <is>
          <t>Standalone</t>
        </is>
      </c>
      <c r="AF29" s="7" t="n">
        <v>24</v>
      </c>
      <c r="AG29" s="7" t="inlineStr">
        <is>
          <t>Gen 1</t>
        </is>
      </c>
      <c r="AH29" s="8" t="n">
        <v>128.37</v>
      </c>
      <c r="AI29" s="9" t="n">
        <v>10.2</v>
      </c>
      <c r="AJ29" s="7" t="inlineStr">
        <is>
          <t>Promotional period</t>
        </is>
      </c>
    </row>
    <row r="30">
      <c r="A30" s="2" t="inlineStr">
        <is>
          <t>SKU-004</t>
        </is>
      </c>
      <c r="B30" s="2" t="inlineStr">
        <is>
          <t>Bullet Cam 4MP AI</t>
        </is>
      </c>
      <c r="C30" s="2" t="inlineStr">
        <is>
          <t>Bullet</t>
        </is>
      </c>
      <c r="D30" s="2" t="inlineStr">
        <is>
          <t>4MP</t>
        </is>
      </c>
      <c r="E30" s="2" t="inlineStr">
        <is>
          <t>AI-enabled</t>
        </is>
      </c>
      <c r="F30" s="2" t="inlineStr">
        <is>
          <t>Outdoor</t>
        </is>
      </c>
      <c r="G30" s="2" t="inlineStr">
        <is>
          <t>IP67</t>
        </is>
      </c>
      <c r="H30" s="3" t="n">
        <v>480</v>
      </c>
      <c r="I30" s="4" t="n">
        <v>365.09</v>
      </c>
      <c r="J30" s="5" t="n">
        <v>0.2394</v>
      </c>
      <c r="K30" s="4" t="n">
        <v>114.91</v>
      </c>
      <c r="L30" s="2" t="inlineStr">
        <is>
          <t>Project Bid</t>
        </is>
      </c>
      <c r="M30" s="4" t="n">
        <v>365.09</v>
      </c>
      <c r="N30" s="3" t="n">
        <v>201.46</v>
      </c>
      <c r="O30" s="3" t="n">
        <v>13.39</v>
      </c>
      <c r="P30" s="3" t="n">
        <v>7.16</v>
      </c>
      <c r="Q30" s="4" t="n">
        <v>222.01</v>
      </c>
      <c r="R30" s="4">
        <f>M30-Q30</f>
        <v/>
      </c>
      <c r="S30" s="5">
        <f>IF(M30=0,"-",(R30/M30))</f>
        <v/>
      </c>
      <c r="T30" s="6" t="n">
        <v>27</v>
      </c>
      <c r="U30" s="4">
        <f>M30*T30</f>
        <v/>
      </c>
      <c r="V30" s="4">
        <f>Q30*T30</f>
        <v/>
      </c>
      <c r="W30" s="4">
        <f>U30-V30</f>
        <v/>
      </c>
      <c r="X30" s="2" t="inlineStr">
        <is>
          <t>Harbour Trust</t>
        </is>
      </c>
      <c r="Y30" s="2" t="inlineStr">
        <is>
          <t>End User</t>
        </is>
      </c>
      <c r="Z30" s="2" t="inlineStr">
        <is>
          <t>Warehouse Monitoring</t>
        </is>
      </c>
      <c r="AA30" s="2" t="inlineStr">
        <is>
          <t>Industrial</t>
        </is>
      </c>
      <c r="AB30" s="2" t="inlineStr">
        <is>
          <t>Philippines</t>
        </is>
      </c>
      <c r="AC30" s="2" t="inlineStr">
        <is>
          <t>Direct</t>
        </is>
      </c>
      <c r="AD30" s="2" t="n">
        <v>2020</v>
      </c>
      <c r="AE30" s="2" t="inlineStr">
        <is>
          <t>Standalone</t>
        </is>
      </c>
      <c r="AF30" s="2" t="n">
        <v>36</v>
      </c>
      <c r="AG30" s="2" t="inlineStr">
        <is>
          <t>Gen 2</t>
        </is>
      </c>
      <c r="AH30" s="3" t="n">
        <v>392.49</v>
      </c>
      <c r="AI30" s="4" t="n">
        <v>-27.4</v>
      </c>
      <c r="AJ30" s="2" t="inlineStr">
        <is>
          <t>Standard deal</t>
        </is>
      </c>
    </row>
    <row r="31">
      <c r="A31" s="7" t="inlineStr">
        <is>
          <t>SKU-004</t>
        </is>
      </c>
      <c r="B31" s="7" t="inlineStr">
        <is>
          <t>Bullet Cam 4MP AI</t>
        </is>
      </c>
      <c r="C31" s="7" t="inlineStr">
        <is>
          <t>Bullet</t>
        </is>
      </c>
      <c r="D31" s="7" t="inlineStr">
        <is>
          <t>4MP</t>
        </is>
      </c>
      <c r="E31" s="7" t="inlineStr">
        <is>
          <t>AI-enabled</t>
        </is>
      </c>
      <c r="F31" s="7" t="inlineStr">
        <is>
          <t>Outdoor</t>
        </is>
      </c>
      <c r="G31" s="7" t="inlineStr">
        <is>
          <t>IP67</t>
        </is>
      </c>
      <c r="H31" s="8" t="n">
        <v>480</v>
      </c>
      <c r="I31" s="9" t="n">
        <v>439.82</v>
      </c>
      <c r="J31" s="10" t="n">
        <v>0.0837</v>
      </c>
      <c r="K31" s="9" t="n">
        <v>40.18</v>
      </c>
      <c r="L31" s="7" t="inlineStr">
        <is>
          <t>Tender</t>
        </is>
      </c>
      <c r="M31" s="9" t="n">
        <v>439.82</v>
      </c>
      <c r="N31" s="8" t="n">
        <v>209.88</v>
      </c>
      <c r="O31" s="8" t="n">
        <v>20.13</v>
      </c>
      <c r="P31" s="8" t="n">
        <v>4.26</v>
      </c>
      <c r="Q31" s="9" t="n">
        <v>234.27</v>
      </c>
      <c r="R31" s="9">
        <f>M31-Q31</f>
        <v/>
      </c>
      <c r="S31" s="10">
        <f>IF(M31=0,"-",(R31/M31))</f>
        <v/>
      </c>
      <c r="T31" s="11" t="n">
        <v>15</v>
      </c>
      <c r="U31" s="9">
        <f>M31*T31</f>
        <v/>
      </c>
      <c r="V31" s="9">
        <f>Q31*T31</f>
        <v/>
      </c>
      <c r="W31" s="9">
        <f>U31-V31</f>
        <v/>
      </c>
      <c r="X31" s="7" t="inlineStr">
        <is>
          <t>Pacific Security Hub</t>
        </is>
      </c>
      <c r="Y31" s="7" t="inlineStr">
        <is>
          <t>Distributor</t>
        </is>
      </c>
      <c r="Z31" s="7" t="inlineStr">
        <is>
          <t>Public Housing CCTV Program</t>
        </is>
      </c>
      <c r="AA31" s="7" t="inlineStr">
        <is>
          <t>Industrial</t>
        </is>
      </c>
      <c r="AB31" s="7" t="inlineStr">
        <is>
          <t>Singapore</t>
        </is>
      </c>
      <c r="AC31" s="7" t="inlineStr">
        <is>
          <t>Distribution</t>
        </is>
      </c>
      <c r="AD31" s="7" t="n">
        <v>2020</v>
      </c>
      <c r="AE31" s="7" t="inlineStr">
        <is>
          <t>Bundle</t>
        </is>
      </c>
      <c r="AF31" s="7" t="n">
        <v>36</v>
      </c>
      <c r="AG31" s="7" t="inlineStr">
        <is>
          <t>Gen 2</t>
        </is>
      </c>
      <c r="AH31" s="8" t="n">
        <v>428.84</v>
      </c>
      <c r="AI31" s="9" t="n">
        <v>10.98</v>
      </c>
      <c r="AJ31" s="7" t="inlineStr">
        <is>
          <t>Matched quote</t>
        </is>
      </c>
    </row>
    <row r="32">
      <c r="A32" s="2" t="inlineStr">
        <is>
          <t>SKU-003</t>
        </is>
      </c>
      <c r="B32" s="2" t="inlineStr">
        <is>
          <t>Bullet Cam 2MP</t>
        </is>
      </c>
      <c r="C32" s="2" t="inlineStr">
        <is>
          <t>Bullet</t>
        </is>
      </c>
      <c r="D32" s="2" t="inlineStr">
        <is>
          <t>2MP</t>
        </is>
      </c>
      <c r="E32" s="2" t="inlineStr">
        <is>
          <t>Analog</t>
        </is>
      </c>
      <c r="F32" s="2" t="inlineStr">
        <is>
          <t>Outdoor</t>
        </is>
      </c>
      <c r="G32" s="2" t="inlineStr">
        <is>
          <t>IP66</t>
        </is>
      </c>
      <c r="H32" s="3" t="n">
        <v>150</v>
      </c>
      <c r="I32" s="4" t="n">
        <v>112.91</v>
      </c>
      <c r="J32" s="5" t="n">
        <v>0.2473</v>
      </c>
      <c r="K32" s="4" t="n">
        <v>37.09</v>
      </c>
      <c r="L32" s="2" t="inlineStr">
        <is>
          <t>Project Bid</t>
        </is>
      </c>
      <c r="M32" s="4" t="n">
        <v>112.91</v>
      </c>
      <c r="N32" s="3" t="n">
        <v>66.09</v>
      </c>
      <c r="O32" s="3" t="n">
        <v>6.06</v>
      </c>
      <c r="P32" s="3" t="n">
        <v>4.46</v>
      </c>
      <c r="Q32" s="4" t="n">
        <v>76.61</v>
      </c>
      <c r="R32" s="4">
        <f>M32-Q32</f>
        <v/>
      </c>
      <c r="S32" s="5">
        <f>IF(M32=0,"-",(R32/M32))</f>
        <v/>
      </c>
      <c r="T32" s="6" t="n">
        <v>58</v>
      </c>
      <c r="U32" s="4">
        <f>M32*T32</f>
        <v/>
      </c>
      <c r="V32" s="4">
        <f>Q32*T32</f>
        <v/>
      </c>
      <c r="W32" s="4">
        <f>U32-V32</f>
        <v/>
      </c>
      <c r="X32" s="2" t="inlineStr">
        <is>
          <t>Harbour Trust</t>
        </is>
      </c>
      <c r="Y32" s="2" t="inlineStr">
        <is>
          <t>End User</t>
        </is>
      </c>
      <c r="Z32" s="2" t="inlineStr">
        <is>
          <t>Warehouse Monitoring</t>
        </is>
      </c>
      <c r="AA32" s="2" t="inlineStr">
        <is>
          <t>Government</t>
        </is>
      </c>
      <c r="AB32" s="2" t="inlineStr">
        <is>
          <t>Vietnam</t>
        </is>
      </c>
      <c r="AC32" s="2" t="inlineStr">
        <is>
          <t>Direct</t>
        </is>
      </c>
      <c r="AD32" s="2" t="n">
        <v>2020</v>
      </c>
      <c r="AE32" s="2" t="inlineStr">
        <is>
          <t>Standalone</t>
        </is>
      </c>
      <c r="AF32" s="2" t="n">
        <v>12</v>
      </c>
      <c r="AG32" s="2" t="inlineStr">
        <is>
          <t>Gen 2</t>
        </is>
      </c>
      <c r="AH32" s="3" t="n">
        <v>131.03</v>
      </c>
      <c r="AI32" s="4" t="n">
        <v>-18.12</v>
      </c>
      <c r="AJ32" s="2" t="inlineStr"/>
    </row>
    <row r="33">
      <c r="A33" s="7" t="inlineStr">
        <is>
          <t>SKU-009</t>
        </is>
      </c>
      <c r="B33" s="7" t="inlineStr">
        <is>
          <t>Turret Cam 4MP</t>
        </is>
      </c>
      <c r="C33" s="7" t="inlineStr">
        <is>
          <t>Turret</t>
        </is>
      </c>
      <c r="D33" s="7" t="inlineStr">
        <is>
          <t>4MP</t>
        </is>
      </c>
      <c r="E33" s="7" t="inlineStr">
        <is>
          <t>IP</t>
        </is>
      </c>
      <c r="F33" s="7" t="inlineStr">
        <is>
          <t>Indoor</t>
        </is>
      </c>
      <c r="G33" s="7" t="inlineStr">
        <is>
          <t>IP65</t>
        </is>
      </c>
      <c r="H33" s="8" t="n">
        <v>290</v>
      </c>
      <c r="I33" s="9" t="n">
        <v>263.61</v>
      </c>
      <c r="J33" s="10" t="n">
        <v>0.091</v>
      </c>
      <c r="K33" s="9" t="n">
        <v>26.39</v>
      </c>
      <c r="L33" s="7" t="inlineStr">
        <is>
          <t>Tender</t>
        </is>
      </c>
      <c r="M33" s="9" t="n">
        <v>263.61</v>
      </c>
      <c r="N33" s="8" t="n">
        <v>129.25</v>
      </c>
      <c r="O33" s="8" t="n">
        <v>13.5</v>
      </c>
      <c r="P33" s="8" t="n">
        <v>5.72</v>
      </c>
      <c r="Q33" s="9" t="n">
        <v>148.47</v>
      </c>
      <c r="R33" s="9">
        <f>M33-Q33</f>
        <v/>
      </c>
      <c r="S33" s="10">
        <f>IF(M33=0,"-",(R33/M33))</f>
        <v/>
      </c>
      <c r="T33" s="11" t="n">
        <v>32</v>
      </c>
      <c r="U33" s="9">
        <f>M33*T33</f>
        <v/>
      </c>
      <c r="V33" s="9">
        <f>Q33*T33</f>
        <v/>
      </c>
      <c r="W33" s="9">
        <f>U33-V33</f>
        <v/>
      </c>
      <c r="X33" s="7" t="inlineStr">
        <is>
          <t>SkyNet Resellers</t>
        </is>
      </c>
      <c r="Y33" s="7" t="inlineStr">
        <is>
          <t>Reseller</t>
        </is>
      </c>
      <c r="Z33" s="7" t="inlineStr">
        <is>
          <t>CBD Traffic Surveillance</t>
        </is>
      </c>
      <c r="AA33" s="7" t="inlineStr">
        <is>
          <t>Healthcare</t>
        </is>
      </c>
      <c r="AB33" s="7" t="inlineStr">
        <is>
          <t>Malaysia</t>
        </is>
      </c>
      <c r="AC33" s="7" t="inlineStr">
        <is>
          <t>Online</t>
        </is>
      </c>
      <c r="AD33" s="7" t="n">
        <v>2020</v>
      </c>
      <c r="AE33" s="7" t="inlineStr">
        <is>
          <t>Standalone</t>
        </is>
      </c>
      <c r="AF33" s="7" t="n">
        <v>24</v>
      </c>
      <c r="AG33" s="7" t="inlineStr">
        <is>
          <t>Gen 1</t>
        </is>
      </c>
      <c r="AH33" s="8" t="n">
        <v>241.56</v>
      </c>
      <c r="AI33" s="9" t="n">
        <v>22.05</v>
      </c>
      <c r="AJ33" s="7" t="inlineStr">
        <is>
          <t>Standard deal</t>
        </is>
      </c>
    </row>
    <row r="34">
      <c r="A34" s="2" t="inlineStr">
        <is>
          <t>SKU-005</t>
        </is>
      </c>
      <c r="B34" s="2" t="inlineStr">
        <is>
          <t>PTZ Cam 4MP</t>
        </is>
      </c>
      <c r="C34" s="2" t="inlineStr">
        <is>
          <t>PTZ</t>
        </is>
      </c>
      <c r="D34" s="2" t="inlineStr">
        <is>
          <t>4MP</t>
        </is>
      </c>
      <c r="E34" s="2" t="inlineStr">
        <is>
          <t>IP</t>
        </is>
      </c>
      <c r="F34" s="2" t="inlineStr">
        <is>
          <t>Outdoor</t>
        </is>
      </c>
      <c r="G34" s="2" t="inlineStr">
        <is>
          <t>IP66</t>
        </is>
      </c>
      <c r="H34" s="3" t="n">
        <v>950</v>
      </c>
      <c r="I34" s="4" t="n">
        <v>889.58</v>
      </c>
      <c r="J34" s="5" t="n">
        <v>0.0636</v>
      </c>
      <c r="K34" s="4" t="n">
        <v>60.42</v>
      </c>
      <c r="L34" s="2" t="inlineStr">
        <is>
          <t>Project Bid</t>
        </is>
      </c>
      <c r="M34" s="4" t="n">
        <v>889.58</v>
      </c>
      <c r="N34" s="3" t="n">
        <v>415.09</v>
      </c>
      <c r="O34" s="3" t="n">
        <v>26.97</v>
      </c>
      <c r="P34" s="3" t="n">
        <v>16.91</v>
      </c>
      <c r="Q34" s="4" t="n">
        <v>458.97</v>
      </c>
      <c r="R34" s="4">
        <f>M34-Q34</f>
        <v/>
      </c>
      <c r="S34" s="5">
        <f>IF(M34=0,"-",(R34/M34))</f>
        <v/>
      </c>
      <c r="T34" s="6" t="n">
        <v>44</v>
      </c>
      <c r="U34" s="4">
        <f>M34*T34</f>
        <v/>
      </c>
      <c r="V34" s="4">
        <f>Q34*T34</f>
        <v/>
      </c>
      <c r="W34" s="4">
        <f>U34-V34</f>
        <v/>
      </c>
      <c r="X34" s="2" t="inlineStr">
        <is>
          <t>Changi Airport Group</t>
        </is>
      </c>
      <c r="Y34" s="2" t="inlineStr">
        <is>
          <t>End User</t>
        </is>
      </c>
      <c r="Z34" s="2" t="inlineStr">
        <is>
          <t>School Campus Safety</t>
        </is>
      </c>
      <c r="AA34" s="2" t="inlineStr">
        <is>
          <t>Retail</t>
        </is>
      </c>
      <c r="AB34" s="2" t="inlineStr">
        <is>
          <t>Indonesia</t>
        </is>
      </c>
      <c r="AC34" s="2" t="inlineStr">
        <is>
          <t>Online</t>
        </is>
      </c>
      <c r="AD34" s="2" t="n">
        <v>2020</v>
      </c>
      <c r="AE34" s="2" t="inlineStr">
        <is>
          <t>Bundle</t>
        </is>
      </c>
      <c r="AF34" s="2" t="n">
        <v>12</v>
      </c>
      <c r="AG34" s="2" t="inlineStr">
        <is>
          <t>Gen 1</t>
        </is>
      </c>
      <c r="AH34" s="3" t="n">
        <v>821.86</v>
      </c>
      <c r="AI34" s="4" t="n">
        <v>67.72</v>
      </c>
      <c r="AJ34" s="2" t="inlineStr">
        <is>
          <t>Promotional period</t>
        </is>
      </c>
    </row>
    <row r="35">
      <c r="A35" s="7" t="inlineStr">
        <is>
          <t>SKU-001</t>
        </is>
      </c>
      <c r="B35" s="7" t="inlineStr">
        <is>
          <t>Dome Cam 2MP Indoor</t>
        </is>
      </c>
      <c r="C35" s="7" t="inlineStr">
        <is>
          <t>Dome</t>
        </is>
      </c>
      <c r="D35" s="7" t="inlineStr">
        <is>
          <t>2MP</t>
        </is>
      </c>
      <c r="E35" s="7" t="inlineStr">
        <is>
          <t>IP</t>
        </is>
      </c>
      <c r="F35" s="7" t="inlineStr">
        <is>
          <t>Indoor</t>
        </is>
      </c>
      <c r="G35" s="7" t="inlineStr">
        <is>
          <t>IP65</t>
        </is>
      </c>
      <c r="H35" s="8" t="n">
        <v>180</v>
      </c>
      <c r="I35" s="9" t="n">
        <v>162.77</v>
      </c>
      <c r="J35" s="10" t="n">
        <v>0.09569999999999999</v>
      </c>
      <c r="K35" s="9" t="n">
        <v>17.23</v>
      </c>
      <c r="L35" s="7" t="inlineStr">
        <is>
          <t>Project Bid</t>
        </is>
      </c>
      <c r="M35" s="9" t="n">
        <v>162.77</v>
      </c>
      <c r="N35" s="8" t="n">
        <v>83.54000000000001</v>
      </c>
      <c r="O35" s="8" t="n">
        <v>6.46</v>
      </c>
      <c r="P35" s="8" t="n">
        <v>5.4</v>
      </c>
      <c r="Q35" s="9" t="n">
        <v>95.40000000000001</v>
      </c>
      <c r="R35" s="9">
        <f>M35-Q35</f>
        <v/>
      </c>
      <c r="S35" s="10">
        <f>IF(M35=0,"-",(R35/M35))</f>
        <v/>
      </c>
      <c r="T35" s="11" t="n">
        <v>55</v>
      </c>
      <c r="U35" s="9">
        <f>M35*T35</f>
        <v/>
      </c>
      <c r="V35" s="9">
        <f>Q35*T35</f>
        <v/>
      </c>
      <c r="W35" s="9">
        <f>U35-V35</f>
        <v/>
      </c>
      <c r="X35" s="7" t="inlineStr">
        <is>
          <t>Changi Airport Group</t>
        </is>
      </c>
      <c r="Y35" s="7" t="inlineStr">
        <is>
          <t>End User</t>
        </is>
      </c>
      <c r="Z35" s="7" t="inlineStr">
        <is>
          <t>Smart City Initiative</t>
        </is>
      </c>
      <c r="AA35" s="7" t="inlineStr">
        <is>
          <t>Healthcare</t>
        </is>
      </c>
      <c r="AB35" s="7" t="inlineStr">
        <is>
          <t>Vietnam</t>
        </is>
      </c>
      <c r="AC35" s="7" t="inlineStr">
        <is>
          <t>Online</t>
        </is>
      </c>
      <c r="AD35" s="7" t="n">
        <v>2020</v>
      </c>
      <c r="AE35" s="7" t="inlineStr">
        <is>
          <t>Standalone</t>
        </is>
      </c>
      <c r="AF35" s="7" t="n">
        <v>24</v>
      </c>
      <c r="AG35" s="7" t="inlineStr">
        <is>
          <t>Gen 1</t>
        </is>
      </c>
      <c r="AH35" s="8" t="n">
        <v>155.63</v>
      </c>
      <c r="AI35" s="9" t="n">
        <v>7.14</v>
      </c>
      <c r="AJ35" s="7" t="inlineStr"/>
    </row>
    <row r="36">
      <c r="A36" s="2" t="inlineStr">
        <is>
          <t>SKU-009</t>
        </is>
      </c>
      <c r="B36" s="2" t="inlineStr">
        <is>
          <t>Turret Cam 4MP</t>
        </is>
      </c>
      <c r="C36" s="2" t="inlineStr">
        <is>
          <t>Turret</t>
        </is>
      </c>
      <c r="D36" s="2" t="inlineStr">
        <is>
          <t>4MP</t>
        </is>
      </c>
      <c r="E36" s="2" t="inlineStr">
        <is>
          <t>IP</t>
        </is>
      </c>
      <c r="F36" s="2" t="inlineStr">
        <is>
          <t>Indoor</t>
        </is>
      </c>
      <c r="G36" s="2" t="inlineStr">
        <is>
          <t>IP65</t>
        </is>
      </c>
      <c r="H36" s="3" t="n">
        <v>290</v>
      </c>
      <c r="I36" s="4" t="n">
        <v>237.97</v>
      </c>
      <c r="J36" s="5" t="n">
        <v>0.1794</v>
      </c>
      <c r="K36" s="4" t="n">
        <v>52.03</v>
      </c>
      <c r="L36" s="2" t="inlineStr">
        <is>
          <t>Tender</t>
        </is>
      </c>
      <c r="M36" s="4" t="n">
        <v>237.97</v>
      </c>
      <c r="N36" s="3" t="n">
        <v>122.95</v>
      </c>
      <c r="O36" s="3" t="n">
        <v>9.630000000000001</v>
      </c>
      <c r="P36" s="3" t="n">
        <v>3.47</v>
      </c>
      <c r="Q36" s="4" t="n">
        <v>136.05</v>
      </c>
      <c r="R36" s="4">
        <f>M36-Q36</f>
        <v/>
      </c>
      <c r="S36" s="5">
        <f>IF(M36=0,"-",(R36/M36))</f>
        <v/>
      </c>
      <c r="T36" s="6" t="n">
        <v>61</v>
      </c>
      <c r="U36" s="4">
        <f>M36*T36</f>
        <v/>
      </c>
      <c r="V36" s="4">
        <f>Q36*T36</f>
        <v/>
      </c>
      <c r="W36" s="4">
        <f>U36-V36</f>
        <v/>
      </c>
      <c r="X36" s="2" t="inlineStr">
        <is>
          <t>SmartBuild Integrators</t>
        </is>
      </c>
      <c r="Y36" s="2" t="inlineStr">
        <is>
          <t>System Integrator</t>
        </is>
      </c>
      <c r="Z36" s="2" t="inlineStr">
        <is>
          <t>Port Authority Monitoring</t>
        </is>
      </c>
      <c r="AA36" s="2" t="inlineStr">
        <is>
          <t>Healthcare</t>
        </is>
      </c>
      <c r="AB36" s="2" t="inlineStr">
        <is>
          <t>Malaysia</t>
        </is>
      </c>
      <c r="AC36" s="2" t="inlineStr">
        <is>
          <t>Distribution</t>
        </is>
      </c>
      <c r="AD36" s="2" t="n">
        <v>2020</v>
      </c>
      <c r="AE36" s="2" t="inlineStr">
        <is>
          <t>Standalone</t>
        </is>
      </c>
      <c r="AF36" s="2" t="n">
        <v>12</v>
      </c>
      <c r="AG36" s="2" t="inlineStr">
        <is>
          <t>Gen 2</t>
        </is>
      </c>
      <c r="AH36" s="3" t="n">
        <v>264</v>
      </c>
      <c r="AI36" s="4" t="n">
        <v>-26.03</v>
      </c>
      <c r="AJ36" s="2" t="inlineStr">
        <is>
          <t>Rush order</t>
        </is>
      </c>
    </row>
    <row r="37">
      <c r="A37" s="7" t="inlineStr">
        <is>
          <t>SKU-009</t>
        </is>
      </c>
      <c r="B37" s="7" t="inlineStr">
        <is>
          <t>Turret Cam 4MP</t>
        </is>
      </c>
      <c r="C37" s="7" t="inlineStr">
        <is>
          <t>Turret</t>
        </is>
      </c>
      <c r="D37" s="7" t="inlineStr">
        <is>
          <t>4MP</t>
        </is>
      </c>
      <c r="E37" s="7" t="inlineStr">
        <is>
          <t>IP</t>
        </is>
      </c>
      <c r="F37" s="7" t="inlineStr">
        <is>
          <t>Indoor</t>
        </is>
      </c>
      <c r="G37" s="7" t="inlineStr">
        <is>
          <t>IP65</t>
        </is>
      </c>
      <c r="H37" s="8" t="n">
        <v>290</v>
      </c>
      <c r="I37" s="9" t="n">
        <v>251.84</v>
      </c>
      <c r="J37" s="10" t="n">
        <v>0.1316</v>
      </c>
      <c r="K37" s="9" t="n">
        <v>38.16</v>
      </c>
      <c r="L37" s="7" t="inlineStr">
        <is>
          <t>Project Bid</t>
        </is>
      </c>
      <c r="M37" s="9" t="n">
        <v>251.84</v>
      </c>
      <c r="N37" s="8" t="n">
        <v>120.45</v>
      </c>
      <c r="O37" s="8" t="n">
        <v>6.45</v>
      </c>
      <c r="P37" s="8" t="n">
        <v>4.69</v>
      </c>
      <c r="Q37" s="9" t="n">
        <v>131.59</v>
      </c>
      <c r="R37" s="9">
        <f>M37-Q37</f>
        <v/>
      </c>
      <c r="S37" s="10">
        <f>IF(M37=0,"-",(R37/M37))</f>
        <v/>
      </c>
      <c r="T37" s="11" t="n">
        <v>29</v>
      </c>
      <c r="U37" s="9">
        <f>M37*T37</f>
        <v/>
      </c>
      <c r="V37" s="9">
        <f>Q37*T37</f>
        <v/>
      </c>
      <c r="W37" s="9">
        <f>U37-V37</f>
        <v/>
      </c>
      <c r="X37" s="7" t="inlineStr">
        <is>
          <t>SecureVision Pte Ltd</t>
        </is>
      </c>
      <c r="Y37" s="7" t="inlineStr">
        <is>
          <t>System Integrator</t>
        </is>
      </c>
      <c r="Z37" s="7" t="inlineStr">
        <is>
          <t>Smart City Initiative</t>
        </is>
      </c>
      <c r="AA37" s="7" t="inlineStr">
        <is>
          <t>Education</t>
        </is>
      </c>
      <c r="AB37" s="7" t="inlineStr">
        <is>
          <t>Vietnam</t>
        </is>
      </c>
      <c r="AC37" s="7" t="inlineStr">
        <is>
          <t>Online</t>
        </is>
      </c>
      <c r="AD37" s="7" t="n">
        <v>2020</v>
      </c>
      <c r="AE37" s="7" t="inlineStr">
        <is>
          <t>Bundle</t>
        </is>
      </c>
      <c r="AF37" s="7" t="n">
        <v>36</v>
      </c>
      <c r="AG37" s="7" t="inlineStr">
        <is>
          <t>Gen 2</t>
        </is>
      </c>
      <c r="AH37" s="8" t="n">
        <v>247.82</v>
      </c>
      <c r="AI37" s="9" t="n">
        <v>4.02</v>
      </c>
      <c r="AJ37" s="7" t="inlineStr">
        <is>
          <t>End-of-life stock</t>
        </is>
      </c>
    </row>
    <row r="38">
      <c r="A38" s="2" t="inlineStr">
        <is>
          <t>SKU-007</t>
        </is>
      </c>
      <c r="B38" s="2" t="inlineStr">
        <is>
          <t>Fisheye Cam 4MP</t>
        </is>
      </c>
      <c r="C38" s="2" t="inlineStr">
        <is>
          <t>Fisheye</t>
        </is>
      </c>
      <c r="D38" s="2" t="inlineStr">
        <is>
          <t>4MP</t>
        </is>
      </c>
      <c r="E38" s="2" t="inlineStr">
        <is>
          <t>IP</t>
        </is>
      </c>
      <c r="F38" s="2" t="inlineStr">
        <is>
          <t>Indoor</t>
        </is>
      </c>
      <c r="G38" s="2" t="inlineStr">
        <is>
          <t>IP65</t>
        </is>
      </c>
      <c r="H38" s="3" t="n">
        <v>620</v>
      </c>
      <c r="I38" s="4" t="n">
        <v>494.82</v>
      </c>
      <c r="J38" s="5" t="n">
        <v>0.2019</v>
      </c>
      <c r="K38" s="4" t="n">
        <v>125.18</v>
      </c>
      <c r="L38" s="2" t="inlineStr">
        <is>
          <t>Project Bid</t>
        </is>
      </c>
      <c r="M38" s="4" t="n">
        <v>494.82</v>
      </c>
      <c r="N38" s="3" t="n">
        <v>274.05</v>
      </c>
      <c r="O38" s="3" t="n">
        <v>26.21</v>
      </c>
      <c r="P38" s="3" t="n">
        <v>15.82</v>
      </c>
      <c r="Q38" s="4" t="n">
        <v>316.08</v>
      </c>
      <c r="R38" s="4">
        <f>M38-Q38</f>
        <v/>
      </c>
      <c r="S38" s="5">
        <f>IF(M38=0,"-",(R38/M38))</f>
        <v/>
      </c>
      <c r="T38" s="6" t="n">
        <v>33</v>
      </c>
      <c r="U38" s="4">
        <f>M38*T38</f>
        <v/>
      </c>
      <c r="V38" s="4">
        <f>Q38*T38</f>
        <v/>
      </c>
      <c r="W38" s="4">
        <f>U38-V38</f>
        <v/>
      </c>
      <c r="X38" s="2" t="inlineStr">
        <is>
          <t>TechDist Asia</t>
        </is>
      </c>
      <c r="Y38" s="2" t="inlineStr">
        <is>
          <t>Distributor</t>
        </is>
      </c>
      <c r="Z38" s="2" t="inlineStr">
        <is>
          <t>Smart City Initiative</t>
        </is>
      </c>
      <c r="AA38" s="2" t="inlineStr">
        <is>
          <t>Retail</t>
        </is>
      </c>
      <c r="AB38" s="2" t="inlineStr">
        <is>
          <t>Singapore</t>
        </is>
      </c>
      <c r="AC38" s="2" t="inlineStr">
        <is>
          <t>Distribution</t>
        </is>
      </c>
      <c r="AD38" s="2" t="n">
        <v>2020</v>
      </c>
      <c r="AE38" s="2" t="inlineStr">
        <is>
          <t>Bundle</t>
        </is>
      </c>
      <c r="AF38" s="2" t="n">
        <v>24</v>
      </c>
      <c r="AG38" s="2" t="inlineStr">
        <is>
          <t>Gen 1</t>
        </is>
      </c>
      <c r="AH38" s="3" t="n">
        <v>510.83</v>
      </c>
      <c r="AI38" s="4" t="n">
        <v>-16.01</v>
      </c>
      <c r="AJ38" s="2" t="inlineStr">
        <is>
          <t>Standard deal</t>
        </is>
      </c>
    </row>
    <row r="39">
      <c r="A39" s="7" t="inlineStr">
        <is>
          <t>SKU-010</t>
        </is>
      </c>
      <c r="B39" s="7" t="inlineStr">
        <is>
          <t>Turret Cam 8MP 4K AI</t>
        </is>
      </c>
      <c r="C39" s="7" t="inlineStr">
        <is>
          <t>Turret</t>
        </is>
      </c>
      <c r="D39" s="7" t="inlineStr">
        <is>
          <t>8MP (4K)</t>
        </is>
      </c>
      <c r="E39" s="7" t="inlineStr">
        <is>
          <t>AI-enabled</t>
        </is>
      </c>
      <c r="F39" s="7" t="inlineStr">
        <is>
          <t>Outdoor</t>
        </is>
      </c>
      <c r="G39" s="7" t="inlineStr">
        <is>
          <t>IP66</t>
        </is>
      </c>
      <c r="H39" s="8" t="n">
        <v>780</v>
      </c>
      <c r="I39" s="9" t="n">
        <v>727.8200000000001</v>
      </c>
      <c r="J39" s="10" t="n">
        <v>0.0669</v>
      </c>
      <c r="K39" s="9" t="n">
        <v>52.18</v>
      </c>
      <c r="L39" s="7" t="inlineStr">
        <is>
          <t>Project Bid</t>
        </is>
      </c>
      <c r="M39" s="9" t="n">
        <v>727.8200000000001</v>
      </c>
      <c r="N39" s="8" t="n">
        <v>349.07</v>
      </c>
      <c r="O39" s="8" t="n">
        <v>32.29</v>
      </c>
      <c r="P39" s="8" t="n">
        <v>20.04</v>
      </c>
      <c r="Q39" s="9" t="n">
        <v>401.4</v>
      </c>
      <c r="R39" s="9">
        <f>M39-Q39</f>
        <v/>
      </c>
      <c r="S39" s="10">
        <f>IF(M39=0,"-",(R39/M39))</f>
        <v/>
      </c>
      <c r="T39" s="11" t="n">
        <v>16</v>
      </c>
      <c r="U39" s="9">
        <f>M39*T39</f>
        <v/>
      </c>
      <c r="V39" s="9">
        <f>Q39*T39</f>
        <v/>
      </c>
      <c r="W39" s="9">
        <f>U39-V39</f>
        <v/>
      </c>
      <c r="X39" s="7" t="inlineStr">
        <is>
          <t>GovTech Singapore</t>
        </is>
      </c>
      <c r="Y39" s="7" t="inlineStr">
        <is>
          <t>End User</t>
        </is>
      </c>
      <c r="Z39" s="7" t="inlineStr">
        <is>
          <t>Port Authority Monitoring</t>
        </is>
      </c>
      <c r="AA39" s="7" t="inlineStr">
        <is>
          <t>Transport</t>
        </is>
      </c>
      <c r="AB39" s="7" t="inlineStr">
        <is>
          <t>Thailand</t>
        </is>
      </c>
      <c r="AC39" s="7" t="inlineStr">
        <is>
          <t>Online</t>
        </is>
      </c>
      <c r="AD39" s="7" t="n">
        <v>2020</v>
      </c>
      <c r="AE39" s="7" t="inlineStr">
        <is>
          <t>Bundle</t>
        </is>
      </c>
      <c r="AF39" s="7" t="n">
        <v>24</v>
      </c>
      <c r="AG39" s="7" t="inlineStr">
        <is>
          <t>Gen 2</t>
        </is>
      </c>
      <c r="AH39" s="8" t="n">
        <v>696.8</v>
      </c>
      <c r="AI39" s="9" t="n">
        <v>31.02</v>
      </c>
      <c r="AJ39" s="7" t="inlineStr">
        <is>
          <t>Matched quote</t>
        </is>
      </c>
    </row>
    <row r="40">
      <c r="A40" s="2" t="inlineStr">
        <is>
          <t>SKU-002</t>
        </is>
      </c>
      <c r="B40" s="2" t="inlineStr">
        <is>
          <t>Dome Cam 4MP IR</t>
        </is>
      </c>
      <c r="C40" s="2" t="inlineStr">
        <is>
          <t>Dome</t>
        </is>
      </c>
      <c r="D40" s="2" t="inlineStr">
        <is>
          <t>4MP</t>
        </is>
      </c>
      <c r="E40" s="2" t="inlineStr">
        <is>
          <t>IP</t>
        </is>
      </c>
      <c r="F40" s="2" t="inlineStr">
        <is>
          <t>Outdoor</t>
        </is>
      </c>
      <c r="G40" s="2" t="inlineStr">
        <is>
          <t>IP66</t>
        </is>
      </c>
      <c r="H40" s="3" t="n">
        <v>329.6</v>
      </c>
      <c r="I40" s="4" t="n">
        <v>269.65</v>
      </c>
      <c r="J40" s="5" t="n">
        <v>0.1819</v>
      </c>
      <c r="K40" s="4" t="n">
        <v>59.95</v>
      </c>
      <c r="L40" s="2" t="inlineStr">
        <is>
          <t>Tender</t>
        </is>
      </c>
      <c r="M40" s="4" t="n">
        <v>269.65</v>
      </c>
      <c r="N40" s="3" t="n">
        <v>138.09</v>
      </c>
      <c r="O40" s="3" t="n">
        <v>12.97</v>
      </c>
      <c r="P40" s="3" t="n">
        <v>3.47</v>
      </c>
      <c r="Q40" s="4" t="n">
        <v>154.53</v>
      </c>
      <c r="R40" s="4">
        <f>M40-Q40</f>
        <v/>
      </c>
      <c r="S40" s="5">
        <f>IF(M40=0,"-",(R40/M40))</f>
        <v/>
      </c>
      <c r="T40" s="6" t="n">
        <v>40</v>
      </c>
      <c r="U40" s="4">
        <f>M40*T40</f>
        <v/>
      </c>
      <c r="V40" s="4">
        <f>Q40*T40</f>
        <v/>
      </c>
      <c r="W40" s="4">
        <f>U40-V40</f>
        <v/>
      </c>
      <c r="X40" s="2" t="inlineStr">
        <is>
          <t>SmartBuild Integrators</t>
        </is>
      </c>
      <c r="Y40" s="2" t="inlineStr">
        <is>
          <t>System Integrator</t>
        </is>
      </c>
      <c r="Z40" s="2" t="inlineStr">
        <is>
          <t>Airport Terminal Upgrade</t>
        </is>
      </c>
      <c r="AA40" s="2" t="inlineStr">
        <is>
          <t>Retail</t>
        </is>
      </c>
      <c r="AB40" s="2" t="inlineStr">
        <is>
          <t>Vietnam</t>
        </is>
      </c>
      <c r="AC40" s="2" t="inlineStr">
        <is>
          <t>Online</t>
        </is>
      </c>
      <c r="AD40" s="2" t="n">
        <v>2021</v>
      </c>
      <c r="AE40" s="2" t="inlineStr">
        <is>
          <t>Standalone</t>
        </is>
      </c>
      <c r="AF40" s="2" t="n">
        <v>36</v>
      </c>
      <c r="AG40" s="2" t="inlineStr">
        <is>
          <t>Gen 1</t>
        </is>
      </c>
      <c r="AH40" s="3" t="n">
        <v>297.31</v>
      </c>
      <c r="AI40" s="4" t="n">
        <v>-27.66</v>
      </c>
      <c r="AJ40" s="2" t="inlineStr">
        <is>
          <t>Rush order</t>
        </is>
      </c>
    </row>
    <row r="41">
      <c r="A41" s="7" t="inlineStr">
        <is>
          <t>SKU-002</t>
        </is>
      </c>
      <c r="B41" s="7" t="inlineStr">
        <is>
          <t>Dome Cam 4MP IR</t>
        </is>
      </c>
      <c r="C41" s="7" t="inlineStr">
        <is>
          <t>Dome</t>
        </is>
      </c>
      <c r="D41" s="7" t="inlineStr">
        <is>
          <t>4MP</t>
        </is>
      </c>
      <c r="E41" s="7" t="inlineStr">
        <is>
          <t>IP</t>
        </is>
      </c>
      <c r="F41" s="7" t="inlineStr">
        <is>
          <t>Outdoor</t>
        </is>
      </c>
      <c r="G41" s="7" t="inlineStr">
        <is>
          <t>IP66</t>
        </is>
      </c>
      <c r="H41" s="8" t="n">
        <v>329.6</v>
      </c>
      <c r="I41" s="9" t="n">
        <v>289.26</v>
      </c>
      <c r="J41" s="10" t="n">
        <v>0.1224</v>
      </c>
      <c r="K41" s="9" t="n">
        <v>40.34</v>
      </c>
      <c r="L41" s="7" t="inlineStr">
        <is>
          <t>Distributor</t>
        </is>
      </c>
      <c r="M41" s="9" t="n">
        <v>289.26</v>
      </c>
      <c r="N41" s="8" t="n">
        <v>137.17</v>
      </c>
      <c r="O41" s="8" t="n">
        <v>11.57</v>
      </c>
      <c r="P41" s="8" t="n">
        <v>5.72</v>
      </c>
      <c r="Q41" s="9" t="n">
        <v>154.46</v>
      </c>
      <c r="R41" s="9">
        <f>M41-Q41</f>
        <v/>
      </c>
      <c r="S41" s="10">
        <f>IF(M41=0,"-",(R41/M41))</f>
        <v/>
      </c>
      <c r="T41" s="11" t="n">
        <v>48</v>
      </c>
      <c r="U41" s="9">
        <f>M41*T41</f>
        <v/>
      </c>
      <c r="V41" s="9">
        <f>Q41*T41</f>
        <v/>
      </c>
      <c r="W41" s="9">
        <f>U41-V41</f>
        <v/>
      </c>
      <c r="X41" s="7" t="inlineStr">
        <is>
          <t>SmartBuild Integrators</t>
        </is>
      </c>
      <c r="Y41" s="7" t="inlineStr">
        <is>
          <t>System Integrator</t>
        </is>
      </c>
      <c r="Z41" s="7" t="inlineStr">
        <is>
          <t>Airport Terminal Upgrade</t>
        </is>
      </c>
      <c r="AA41" s="7" t="inlineStr">
        <is>
          <t>Retail</t>
        </is>
      </c>
      <c r="AB41" s="7" t="inlineStr">
        <is>
          <t>Vietnam</t>
        </is>
      </c>
      <c r="AC41" s="7" t="inlineStr">
        <is>
          <t>Distribution</t>
        </is>
      </c>
      <c r="AD41" s="7" t="n">
        <v>2021</v>
      </c>
      <c r="AE41" s="7" t="inlineStr">
        <is>
          <t>Bundle</t>
        </is>
      </c>
      <c r="AF41" s="7" t="n">
        <v>36</v>
      </c>
      <c r="AG41" s="7" t="inlineStr">
        <is>
          <t>Gen 2</t>
        </is>
      </c>
      <c r="AH41" s="8" t="n">
        <v>288.82</v>
      </c>
      <c r="AI41" s="9" t="n">
        <v>0.44</v>
      </c>
      <c r="AJ41" s="7" t="inlineStr">
        <is>
          <t>Promotional period</t>
        </is>
      </c>
    </row>
    <row r="42">
      <c r="A42" s="2" t="inlineStr">
        <is>
          <t>SKU-003</t>
        </is>
      </c>
      <c r="B42" s="2" t="inlineStr">
        <is>
          <t>Bullet Cam 2MP</t>
        </is>
      </c>
      <c r="C42" s="2" t="inlineStr">
        <is>
          <t>Bullet</t>
        </is>
      </c>
      <c r="D42" s="2" t="inlineStr">
        <is>
          <t>2MP</t>
        </is>
      </c>
      <c r="E42" s="2" t="inlineStr">
        <is>
          <t>Analog</t>
        </is>
      </c>
      <c r="F42" s="2" t="inlineStr">
        <is>
          <t>Outdoor</t>
        </is>
      </c>
      <c r="G42" s="2" t="inlineStr">
        <is>
          <t>IP66</t>
        </is>
      </c>
      <c r="H42" s="3" t="n">
        <v>154.5</v>
      </c>
      <c r="I42" s="4" t="n">
        <v>129.73</v>
      </c>
      <c r="J42" s="5" t="n">
        <v>0.1603</v>
      </c>
      <c r="K42" s="4" t="n">
        <v>24.77</v>
      </c>
      <c r="L42" s="2" t="inlineStr">
        <is>
          <t>Distributor</t>
        </is>
      </c>
      <c r="M42" s="4" t="n">
        <v>129.73</v>
      </c>
      <c r="N42" s="3" t="n">
        <v>69.13</v>
      </c>
      <c r="O42" s="3" t="n">
        <v>5.02</v>
      </c>
      <c r="P42" s="3" t="n">
        <v>2.23</v>
      </c>
      <c r="Q42" s="4" t="n">
        <v>76.38</v>
      </c>
      <c r="R42" s="4">
        <f>M42-Q42</f>
        <v/>
      </c>
      <c r="S42" s="5">
        <f>IF(M42=0,"-",(R42/M42))</f>
        <v/>
      </c>
      <c r="T42" s="6" t="n">
        <v>13</v>
      </c>
      <c r="U42" s="4">
        <f>M42*T42</f>
        <v/>
      </c>
      <c r="V42" s="4">
        <f>Q42*T42</f>
        <v/>
      </c>
      <c r="W42" s="4">
        <f>U42-V42</f>
        <v/>
      </c>
      <c r="X42" s="2" t="inlineStr">
        <is>
          <t>SkyNet Resellers</t>
        </is>
      </c>
      <c r="Y42" s="2" t="inlineStr">
        <is>
          <t>Reseller</t>
        </is>
      </c>
      <c r="Z42" s="2" t="inlineStr">
        <is>
          <t>Mall Security Rollout</t>
        </is>
      </c>
      <c r="AA42" s="2" t="inlineStr">
        <is>
          <t>Commercial</t>
        </is>
      </c>
      <c r="AB42" s="2" t="inlineStr">
        <is>
          <t>Vietnam</t>
        </is>
      </c>
      <c r="AC42" s="2" t="inlineStr">
        <is>
          <t>Online</t>
        </is>
      </c>
      <c r="AD42" s="2" t="n">
        <v>2021</v>
      </c>
      <c r="AE42" s="2" t="inlineStr">
        <is>
          <t>Standalone</t>
        </is>
      </c>
      <c r="AF42" s="2" t="n">
        <v>24</v>
      </c>
      <c r="AG42" s="2" t="inlineStr">
        <is>
          <t>Gen 2</t>
        </is>
      </c>
      <c r="AH42" s="3" t="n">
        <v>128.77</v>
      </c>
      <c r="AI42" s="4" t="n">
        <v>0.96</v>
      </c>
      <c r="AJ42" s="2" t="inlineStr">
        <is>
          <t>Promotional period</t>
        </is>
      </c>
    </row>
    <row r="43">
      <c r="A43" s="7" t="inlineStr">
        <is>
          <t>SKU-004</t>
        </is>
      </c>
      <c r="B43" s="7" t="inlineStr">
        <is>
          <t>Bullet Cam 4MP AI</t>
        </is>
      </c>
      <c r="C43" s="7" t="inlineStr">
        <is>
          <t>Bullet</t>
        </is>
      </c>
      <c r="D43" s="7" t="inlineStr">
        <is>
          <t>4MP</t>
        </is>
      </c>
      <c r="E43" s="7" t="inlineStr">
        <is>
          <t>AI-enabled</t>
        </is>
      </c>
      <c r="F43" s="7" t="inlineStr">
        <is>
          <t>Outdoor</t>
        </is>
      </c>
      <c r="G43" s="7" t="inlineStr">
        <is>
          <t>IP67</t>
        </is>
      </c>
      <c r="H43" s="8" t="n">
        <v>494.4</v>
      </c>
      <c r="I43" s="9" t="n">
        <v>456.48</v>
      </c>
      <c r="J43" s="10" t="n">
        <v>0.0767</v>
      </c>
      <c r="K43" s="9" t="n">
        <v>37.92</v>
      </c>
      <c r="L43" s="7" t="inlineStr">
        <is>
          <t>Distributor</t>
        </is>
      </c>
      <c r="M43" s="9" t="n">
        <v>456.48</v>
      </c>
      <c r="N43" s="8" t="n">
        <v>209.42</v>
      </c>
      <c r="O43" s="8" t="n">
        <v>22.17</v>
      </c>
      <c r="P43" s="8" t="n">
        <v>7.75</v>
      </c>
      <c r="Q43" s="9" t="n">
        <v>239.34</v>
      </c>
      <c r="R43" s="9">
        <f>M43-Q43</f>
        <v/>
      </c>
      <c r="S43" s="10">
        <f>IF(M43=0,"-",(R43/M43))</f>
        <v/>
      </c>
      <c r="T43" s="11" t="n">
        <v>78</v>
      </c>
      <c r="U43" s="9">
        <f>M43*T43</f>
        <v/>
      </c>
      <c r="V43" s="9">
        <f>Q43*T43</f>
        <v/>
      </c>
      <c r="W43" s="9">
        <f>U43-V43</f>
        <v/>
      </c>
      <c r="X43" s="7" t="inlineStr">
        <is>
          <t>Pacific Security Hub</t>
        </is>
      </c>
      <c r="Y43" s="7" t="inlineStr">
        <is>
          <t>Distributor</t>
        </is>
      </c>
      <c r="Z43" s="7" t="inlineStr">
        <is>
          <t>Public Housing CCTV Program</t>
        </is>
      </c>
      <c r="AA43" s="7" t="inlineStr">
        <is>
          <t>Education</t>
        </is>
      </c>
      <c r="AB43" s="7" t="inlineStr">
        <is>
          <t>Philippines</t>
        </is>
      </c>
      <c r="AC43" s="7" t="inlineStr">
        <is>
          <t>Distribution</t>
        </is>
      </c>
      <c r="AD43" s="7" t="n">
        <v>2021</v>
      </c>
      <c r="AE43" s="7" t="inlineStr">
        <is>
          <t>Bundle</t>
        </is>
      </c>
      <c r="AF43" s="7" t="n">
        <v>24</v>
      </c>
      <c r="AG43" s="7" t="inlineStr">
        <is>
          <t>Gen 2</t>
        </is>
      </c>
      <c r="AH43" s="8" t="n">
        <v>437.12</v>
      </c>
      <c r="AI43" s="9" t="n">
        <v>19.36</v>
      </c>
      <c r="AJ43" s="7" t="inlineStr">
        <is>
          <t>End-of-life stock</t>
        </is>
      </c>
    </row>
    <row r="44">
      <c r="A44" s="2" t="inlineStr">
        <is>
          <t>SKU-009</t>
        </is>
      </c>
      <c r="B44" s="2" t="inlineStr">
        <is>
          <t>Turret Cam 4MP</t>
        </is>
      </c>
      <c r="C44" s="2" t="inlineStr">
        <is>
          <t>Turret</t>
        </is>
      </c>
      <c r="D44" s="2" t="inlineStr">
        <is>
          <t>4MP</t>
        </is>
      </c>
      <c r="E44" s="2" t="inlineStr">
        <is>
          <t>IP</t>
        </is>
      </c>
      <c r="F44" s="2" t="inlineStr">
        <is>
          <t>Indoor</t>
        </is>
      </c>
      <c r="G44" s="2" t="inlineStr">
        <is>
          <t>IP65</t>
        </is>
      </c>
      <c r="H44" s="3" t="n">
        <v>298.7</v>
      </c>
      <c r="I44" s="4" t="n">
        <v>247.29</v>
      </c>
      <c r="J44" s="5" t="n">
        <v>0.1721</v>
      </c>
      <c r="K44" s="4" t="n">
        <v>51.41</v>
      </c>
      <c r="L44" s="2" t="inlineStr">
        <is>
          <t>Tender</t>
        </is>
      </c>
      <c r="M44" s="4" t="n">
        <v>247.29</v>
      </c>
      <c r="N44" s="3" t="n">
        <v>131.2</v>
      </c>
      <c r="O44" s="3" t="n">
        <v>11.07</v>
      </c>
      <c r="P44" s="3" t="n">
        <v>7.83</v>
      </c>
      <c r="Q44" s="4" t="n">
        <v>150.1</v>
      </c>
      <c r="R44" s="4">
        <f>M44-Q44</f>
        <v/>
      </c>
      <c r="S44" s="5">
        <f>IF(M44=0,"-",(R44/M44))</f>
        <v/>
      </c>
      <c r="T44" s="6" t="n">
        <v>13</v>
      </c>
      <c r="U44" s="4">
        <f>M44*T44</f>
        <v/>
      </c>
      <c r="V44" s="4">
        <f>Q44*T44</f>
        <v/>
      </c>
      <c r="W44" s="4">
        <f>U44-V44</f>
        <v/>
      </c>
      <c r="X44" s="2" t="inlineStr">
        <is>
          <t>SecureVision Pte Ltd</t>
        </is>
      </c>
      <c r="Y44" s="2" t="inlineStr">
        <is>
          <t>System Integrator</t>
        </is>
      </c>
      <c r="Z44" s="2" t="inlineStr">
        <is>
          <t>CBD Traffic Surveillance</t>
        </is>
      </c>
      <c r="AA44" s="2" t="inlineStr">
        <is>
          <t>Transport</t>
        </is>
      </c>
      <c r="AB44" s="2" t="inlineStr">
        <is>
          <t>Singapore</t>
        </is>
      </c>
      <c r="AC44" s="2" t="inlineStr">
        <is>
          <t>Direct</t>
        </is>
      </c>
      <c r="AD44" s="2" t="n">
        <v>2021</v>
      </c>
      <c r="AE44" s="2" t="inlineStr">
        <is>
          <t>Standalone</t>
        </is>
      </c>
      <c r="AF44" s="2" t="n">
        <v>36</v>
      </c>
      <c r="AG44" s="2" t="inlineStr">
        <is>
          <t>Gen 1</t>
        </is>
      </c>
      <c r="AH44" s="3" t="n">
        <v>249.51</v>
      </c>
      <c r="AI44" s="4" t="n">
        <v>-2.22</v>
      </c>
      <c r="AJ44" s="2" t="inlineStr">
        <is>
          <t>Promotional period</t>
        </is>
      </c>
    </row>
    <row r="45">
      <c r="A45" s="7" t="inlineStr">
        <is>
          <t>SKU-004</t>
        </is>
      </c>
      <c r="B45" s="7" t="inlineStr">
        <is>
          <t>Bullet Cam 4MP AI</t>
        </is>
      </c>
      <c r="C45" s="7" t="inlineStr">
        <is>
          <t>Bullet</t>
        </is>
      </c>
      <c r="D45" s="7" t="inlineStr">
        <is>
          <t>4MP</t>
        </is>
      </c>
      <c r="E45" s="7" t="inlineStr">
        <is>
          <t>AI-enabled</t>
        </is>
      </c>
      <c r="F45" s="7" t="inlineStr">
        <is>
          <t>Outdoor</t>
        </is>
      </c>
      <c r="G45" s="7" t="inlineStr">
        <is>
          <t>IP67</t>
        </is>
      </c>
      <c r="H45" s="8" t="n">
        <v>494.4</v>
      </c>
      <c r="I45" s="9" t="n">
        <v>430.23</v>
      </c>
      <c r="J45" s="10" t="n">
        <v>0.1298</v>
      </c>
      <c r="K45" s="9" t="n">
        <v>64.17</v>
      </c>
      <c r="L45" s="7" t="inlineStr">
        <is>
          <t>Loyalty</t>
        </is>
      </c>
      <c r="M45" s="9" t="n">
        <v>430.23</v>
      </c>
      <c r="N45" s="8" t="n">
        <v>213.09</v>
      </c>
      <c r="O45" s="8" t="n">
        <v>15.23</v>
      </c>
      <c r="P45" s="8" t="n">
        <v>6.72</v>
      </c>
      <c r="Q45" s="9" t="n">
        <v>235.04</v>
      </c>
      <c r="R45" s="9">
        <f>M45-Q45</f>
        <v/>
      </c>
      <c r="S45" s="10">
        <f>IF(M45=0,"-",(R45/M45))</f>
        <v/>
      </c>
      <c r="T45" s="11" t="n">
        <v>26</v>
      </c>
      <c r="U45" s="9">
        <f>M45*T45</f>
        <v/>
      </c>
      <c r="V45" s="9">
        <f>Q45*T45</f>
        <v/>
      </c>
      <c r="W45" s="9">
        <f>U45-V45</f>
        <v/>
      </c>
      <c r="X45" s="7" t="inlineStr">
        <is>
          <t>TechDist Asia</t>
        </is>
      </c>
      <c r="Y45" s="7" t="inlineStr">
        <is>
          <t>Distributor</t>
        </is>
      </c>
      <c r="Z45" s="7" t="inlineStr">
        <is>
          <t>Public Housing CCTV Program</t>
        </is>
      </c>
      <c r="AA45" s="7" t="inlineStr">
        <is>
          <t>Retail</t>
        </is>
      </c>
      <c r="AB45" s="7" t="inlineStr">
        <is>
          <t>Thailand</t>
        </is>
      </c>
      <c r="AC45" s="7" t="inlineStr">
        <is>
          <t>Online</t>
        </is>
      </c>
      <c r="AD45" s="7" t="n">
        <v>2021</v>
      </c>
      <c r="AE45" s="7" t="inlineStr">
        <is>
          <t>Standalone</t>
        </is>
      </c>
      <c r="AF45" s="7" t="n">
        <v>24</v>
      </c>
      <c r="AG45" s="7" t="inlineStr">
        <is>
          <t>Gen 2</t>
        </is>
      </c>
      <c r="AH45" s="8" t="n">
        <v>414.24</v>
      </c>
      <c r="AI45" s="9" t="n">
        <v>15.99</v>
      </c>
      <c r="AJ45" s="7" t="inlineStr"/>
    </row>
    <row r="46">
      <c r="A46" s="2" t="inlineStr">
        <is>
          <t>SKU-009</t>
        </is>
      </c>
      <c r="B46" s="2" t="inlineStr">
        <is>
          <t>Turret Cam 4MP</t>
        </is>
      </c>
      <c r="C46" s="2" t="inlineStr">
        <is>
          <t>Turret</t>
        </is>
      </c>
      <c r="D46" s="2" t="inlineStr">
        <is>
          <t>4MP</t>
        </is>
      </c>
      <c r="E46" s="2" t="inlineStr">
        <is>
          <t>IP</t>
        </is>
      </c>
      <c r="F46" s="2" t="inlineStr">
        <is>
          <t>Indoor</t>
        </is>
      </c>
      <c r="G46" s="2" t="inlineStr">
        <is>
          <t>IP65</t>
        </is>
      </c>
      <c r="H46" s="3" t="n">
        <v>298.7</v>
      </c>
      <c r="I46" s="4" t="n">
        <v>266.02</v>
      </c>
      <c r="J46" s="5" t="n">
        <v>0.1094</v>
      </c>
      <c r="K46" s="4" t="n">
        <v>32.68</v>
      </c>
      <c r="L46" s="2" t="inlineStr">
        <is>
          <t>Distributor</t>
        </is>
      </c>
      <c r="M46" s="4" t="n">
        <v>266.02</v>
      </c>
      <c r="N46" s="3" t="n">
        <v>126.13</v>
      </c>
      <c r="O46" s="3" t="n">
        <v>8.98</v>
      </c>
      <c r="P46" s="3" t="n">
        <v>6.99</v>
      </c>
      <c r="Q46" s="4" t="n">
        <v>142.1</v>
      </c>
      <c r="R46" s="4">
        <f>M46-Q46</f>
        <v/>
      </c>
      <c r="S46" s="5">
        <f>IF(M46=0,"-",(R46/M46))</f>
        <v/>
      </c>
      <c r="T46" s="6" t="n">
        <v>18</v>
      </c>
      <c r="U46" s="4">
        <f>M46*T46</f>
        <v/>
      </c>
      <c r="V46" s="4">
        <f>Q46*T46</f>
        <v/>
      </c>
      <c r="W46" s="4">
        <f>U46-V46</f>
        <v/>
      </c>
      <c r="X46" s="2" t="inlineStr">
        <is>
          <t>GovTech Singapore</t>
        </is>
      </c>
      <c r="Y46" s="2" t="inlineStr">
        <is>
          <t>End User</t>
        </is>
      </c>
      <c r="Z46" s="2" t="inlineStr">
        <is>
          <t>Port Authority Monitoring</t>
        </is>
      </c>
      <c r="AA46" s="2" t="inlineStr">
        <is>
          <t>Transport</t>
        </is>
      </c>
      <c r="AB46" s="2" t="inlineStr">
        <is>
          <t>Philippines</t>
        </is>
      </c>
      <c r="AC46" s="2" t="inlineStr">
        <is>
          <t>Distribution</t>
        </is>
      </c>
      <c r="AD46" s="2" t="n">
        <v>2021</v>
      </c>
      <c r="AE46" s="2" t="inlineStr">
        <is>
          <t>Standalone</t>
        </is>
      </c>
      <c r="AF46" s="2" t="n">
        <v>12</v>
      </c>
      <c r="AG46" s="2" t="inlineStr">
        <is>
          <t>Gen 1</t>
        </is>
      </c>
      <c r="AH46" s="3" t="n">
        <v>248.79</v>
      </c>
      <c r="AI46" s="4" t="n">
        <v>17.23</v>
      </c>
      <c r="AJ46" s="2" t="inlineStr">
        <is>
          <t>Standard deal</t>
        </is>
      </c>
    </row>
    <row r="47">
      <c r="A47" s="7" t="inlineStr">
        <is>
          <t>SKU-009</t>
        </is>
      </c>
      <c r="B47" s="7" t="inlineStr">
        <is>
          <t>Turret Cam 4MP</t>
        </is>
      </c>
      <c r="C47" s="7" t="inlineStr">
        <is>
          <t>Turret</t>
        </is>
      </c>
      <c r="D47" s="7" t="inlineStr">
        <is>
          <t>4MP</t>
        </is>
      </c>
      <c r="E47" s="7" t="inlineStr">
        <is>
          <t>IP</t>
        </is>
      </c>
      <c r="F47" s="7" t="inlineStr">
        <is>
          <t>Indoor</t>
        </is>
      </c>
      <c r="G47" s="7" t="inlineStr">
        <is>
          <t>IP65</t>
        </is>
      </c>
      <c r="H47" s="8" t="n">
        <v>298.7</v>
      </c>
      <c r="I47" s="9" t="n">
        <v>277.61</v>
      </c>
      <c r="J47" s="10" t="n">
        <v>0.0706</v>
      </c>
      <c r="K47" s="9" t="n">
        <v>21.09</v>
      </c>
      <c r="L47" s="7" t="inlineStr">
        <is>
          <t>Project Bid</t>
        </is>
      </c>
      <c r="M47" s="9" t="n">
        <v>277.61</v>
      </c>
      <c r="N47" s="8" t="n">
        <v>127.98</v>
      </c>
      <c r="O47" s="8" t="n">
        <v>6.86</v>
      </c>
      <c r="P47" s="8" t="n">
        <v>8.58</v>
      </c>
      <c r="Q47" s="9" t="n">
        <v>143.42</v>
      </c>
      <c r="R47" s="9">
        <f>M47-Q47</f>
        <v/>
      </c>
      <c r="S47" s="10">
        <f>IF(M47=0,"-",(R47/M47))</f>
        <v/>
      </c>
      <c r="T47" s="11" t="n">
        <v>63</v>
      </c>
      <c r="U47" s="9">
        <f>M47*T47</f>
        <v/>
      </c>
      <c r="V47" s="9">
        <f>Q47*T47</f>
        <v/>
      </c>
      <c r="W47" s="9">
        <f>U47-V47</f>
        <v/>
      </c>
      <c r="X47" s="7" t="inlineStr">
        <is>
          <t>TechDist Asia</t>
        </is>
      </c>
      <c r="Y47" s="7" t="inlineStr">
        <is>
          <t>Distributor</t>
        </is>
      </c>
      <c r="Z47" s="7" t="inlineStr">
        <is>
          <t>Mall Security Rollout</t>
        </is>
      </c>
      <c r="AA47" s="7" t="inlineStr">
        <is>
          <t>Commercial</t>
        </is>
      </c>
      <c r="AB47" s="7" t="inlineStr">
        <is>
          <t>Thailand</t>
        </is>
      </c>
      <c r="AC47" s="7" t="inlineStr">
        <is>
          <t>Direct</t>
        </is>
      </c>
      <c r="AD47" s="7" t="n">
        <v>2021</v>
      </c>
      <c r="AE47" s="7" t="inlineStr">
        <is>
          <t>Standalone</t>
        </is>
      </c>
      <c r="AF47" s="7" t="n">
        <v>24</v>
      </c>
      <c r="AG47" s="7" t="inlineStr">
        <is>
          <t>Gen 2</t>
        </is>
      </c>
      <c r="AH47" s="8" t="n">
        <v>243.05</v>
      </c>
      <c r="AI47" s="9" t="n">
        <v>34.56</v>
      </c>
      <c r="AJ47" s="7" t="inlineStr">
        <is>
          <t>Standard deal</t>
        </is>
      </c>
    </row>
    <row r="48">
      <c r="A48" s="2" t="inlineStr">
        <is>
          <t>SKU-007</t>
        </is>
      </c>
      <c r="B48" s="2" t="inlineStr">
        <is>
          <t>Fisheye Cam 4MP</t>
        </is>
      </c>
      <c r="C48" s="2" t="inlineStr">
        <is>
          <t>Fisheye</t>
        </is>
      </c>
      <c r="D48" s="2" t="inlineStr">
        <is>
          <t>4MP</t>
        </is>
      </c>
      <c r="E48" s="2" t="inlineStr">
        <is>
          <t>IP</t>
        </is>
      </c>
      <c r="F48" s="2" t="inlineStr">
        <is>
          <t>Indoor</t>
        </is>
      </c>
      <c r="G48" s="2" t="inlineStr">
        <is>
          <t>IP65</t>
        </is>
      </c>
      <c r="H48" s="3" t="n">
        <v>638.6</v>
      </c>
      <c r="I48" s="4" t="n">
        <v>584.5700000000001</v>
      </c>
      <c r="J48" s="5" t="n">
        <v>0.08459999999999999</v>
      </c>
      <c r="K48" s="4" t="n">
        <v>54.03</v>
      </c>
      <c r="L48" s="2" t="inlineStr">
        <is>
          <t>Project Bid</t>
        </is>
      </c>
      <c r="M48" s="4" t="n">
        <v>584.5700000000001</v>
      </c>
      <c r="N48" s="3" t="n">
        <v>266.56</v>
      </c>
      <c r="O48" s="3" t="n">
        <v>23.74</v>
      </c>
      <c r="P48" s="3" t="n">
        <v>10.88</v>
      </c>
      <c r="Q48" s="4" t="n">
        <v>301.18</v>
      </c>
      <c r="R48" s="4">
        <f>M48-Q48</f>
        <v/>
      </c>
      <c r="S48" s="5">
        <f>IF(M48=0,"-",(R48/M48))</f>
        <v/>
      </c>
      <c r="T48" s="6" t="n">
        <v>78</v>
      </c>
      <c r="U48" s="4">
        <f>M48*T48</f>
        <v/>
      </c>
      <c r="V48" s="4">
        <f>Q48*T48</f>
        <v/>
      </c>
      <c r="W48" s="4">
        <f>U48-V48</f>
        <v/>
      </c>
      <c r="X48" s="2" t="inlineStr">
        <is>
          <t>Pacific Security Hub</t>
        </is>
      </c>
      <c r="Y48" s="2" t="inlineStr">
        <is>
          <t>Distributor</t>
        </is>
      </c>
      <c r="Z48" s="2" t="inlineStr">
        <is>
          <t>City Surveillance Phase 1</t>
        </is>
      </c>
      <c r="AA48" s="2" t="inlineStr">
        <is>
          <t>Education</t>
        </is>
      </c>
      <c r="AB48" s="2" t="inlineStr">
        <is>
          <t>Philippines</t>
        </is>
      </c>
      <c r="AC48" s="2" t="inlineStr">
        <is>
          <t>Online</t>
        </is>
      </c>
      <c r="AD48" s="2" t="n">
        <v>2021</v>
      </c>
      <c r="AE48" s="2" t="inlineStr">
        <is>
          <t>Bundle</t>
        </is>
      </c>
      <c r="AF48" s="2" t="n">
        <v>12</v>
      </c>
      <c r="AG48" s="2" t="inlineStr">
        <is>
          <t>Gen 2</t>
        </is>
      </c>
      <c r="AH48" s="3" t="n">
        <v>571.48</v>
      </c>
      <c r="AI48" s="4" t="n">
        <v>13.09</v>
      </c>
      <c r="AJ48" s="2" t="inlineStr">
        <is>
          <t>Matched quote</t>
        </is>
      </c>
    </row>
    <row r="49">
      <c r="A49" s="7" t="inlineStr">
        <is>
          <t>SKU-009</t>
        </is>
      </c>
      <c r="B49" s="7" t="inlineStr">
        <is>
          <t>Turret Cam 4MP</t>
        </is>
      </c>
      <c r="C49" s="7" t="inlineStr">
        <is>
          <t>Turret</t>
        </is>
      </c>
      <c r="D49" s="7" t="inlineStr">
        <is>
          <t>4MP</t>
        </is>
      </c>
      <c r="E49" s="7" t="inlineStr">
        <is>
          <t>IP</t>
        </is>
      </c>
      <c r="F49" s="7" t="inlineStr">
        <is>
          <t>Indoor</t>
        </is>
      </c>
      <c r="G49" s="7" t="inlineStr">
        <is>
          <t>IP65</t>
        </is>
      </c>
      <c r="H49" s="8" t="n">
        <v>298.7</v>
      </c>
      <c r="I49" s="9" t="n">
        <v>241.11</v>
      </c>
      <c r="J49" s="10" t="n">
        <v>0.1928</v>
      </c>
      <c r="K49" s="9" t="n">
        <v>57.59</v>
      </c>
      <c r="L49" s="7" t="inlineStr">
        <is>
          <t>Tender</t>
        </is>
      </c>
      <c r="M49" s="9" t="n">
        <v>241.11</v>
      </c>
      <c r="N49" s="8" t="n">
        <v>130.16</v>
      </c>
      <c r="O49" s="8" t="n">
        <v>15.14</v>
      </c>
      <c r="P49" s="8" t="n">
        <v>3.96</v>
      </c>
      <c r="Q49" s="9" t="n">
        <v>149.26</v>
      </c>
      <c r="R49" s="9">
        <f>M49-Q49</f>
        <v/>
      </c>
      <c r="S49" s="10">
        <f>IF(M49=0,"-",(R49/M49))</f>
        <v/>
      </c>
      <c r="T49" s="11" t="n">
        <v>29</v>
      </c>
      <c r="U49" s="9">
        <f>M49*T49</f>
        <v/>
      </c>
      <c r="V49" s="9">
        <f>Q49*T49</f>
        <v/>
      </c>
      <c r="W49" s="9">
        <f>U49-V49</f>
        <v/>
      </c>
      <c r="X49" s="7" t="inlineStr">
        <is>
          <t>SkyNet Resellers</t>
        </is>
      </c>
      <c r="Y49" s="7" t="inlineStr">
        <is>
          <t>Reseller</t>
        </is>
      </c>
      <c r="Z49" s="7" t="inlineStr">
        <is>
          <t>Warehouse Monitoring</t>
        </is>
      </c>
      <c r="AA49" s="7" t="inlineStr">
        <is>
          <t>Healthcare</t>
        </is>
      </c>
      <c r="AB49" s="7" t="inlineStr">
        <is>
          <t>Indonesia</t>
        </is>
      </c>
      <c r="AC49" s="7" t="inlineStr">
        <is>
          <t>Online</t>
        </is>
      </c>
      <c r="AD49" s="7" t="n">
        <v>2021</v>
      </c>
      <c r="AE49" s="7" t="inlineStr">
        <is>
          <t>Standalone</t>
        </is>
      </c>
      <c r="AF49" s="7" t="n">
        <v>36</v>
      </c>
      <c r="AG49" s="7" t="inlineStr">
        <is>
          <t>Gen 1</t>
        </is>
      </c>
      <c r="AH49" s="8" t="n">
        <v>248.45</v>
      </c>
      <c r="AI49" s="9" t="n">
        <v>-7.34</v>
      </c>
      <c r="AJ49" s="7" t="inlineStr">
        <is>
          <t>Standard deal</t>
        </is>
      </c>
    </row>
    <row r="50">
      <c r="A50" s="2" t="inlineStr">
        <is>
          <t>SKU-003</t>
        </is>
      </c>
      <c r="B50" s="2" t="inlineStr">
        <is>
          <t>Bullet Cam 2MP</t>
        </is>
      </c>
      <c r="C50" s="2" t="inlineStr">
        <is>
          <t>Bullet</t>
        </is>
      </c>
      <c r="D50" s="2" t="inlineStr">
        <is>
          <t>2MP</t>
        </is>
      </c>
      <c r="E50" s="2" t="inlineStr">
        <is>
          <t>Analog</t>
        </is>
      </c>
      <c r="F50" s="2" t="inlineStr">
        <is>
          <t>Outdoor</t>
        </is>
      </c>
      <c r="G50" s="2" t="inlineStr">
        <is>
          <t>IP66</t>
        </is>
      </c>
      <c r="H50" s="3" t="n">
        <v>154.5</v>
      </c>
      <c r="I50" s="4" t="n">
        <v>142</v>
      </c>
      <c r="J50" s="5" t="n">
        <v>0.0809</v>
      </c>
      <c r="K50" s="4" t="n">
        <v>12.5</v>
      </c>
      <c r="L50" s="2" t="inlineStr">
        <is>
          <t>Project Bid</t>
        </is>
      </c>
      <c r="M50" s="4" t="n">
        <v>142</v>
      </c>
      <c r="N50" s="3" t="n">
        <v>65.55</v>
      </c>
      <c r="O50" s="3" t="n">
        <v>6.52</v>
      </c>
      <c r="P50" s="3" t="n">
        <v>3.62</v>
      </c>
      <c r="Q50" s="4" t="n">
        <v>75.69</v>
      </c>
      <c r="R50" s="4">
        <f>M50-Q50</f>
        <v/>
      </c>
      <c r="S50" s="5">
        <f>IF(M50=0,"-",(R50/M50))</f>
        <v/>
      </c>
      <c r="T50" s="6" t="n">
        <v>60</v>
      </c>
      <c r="U50" s="4">
        <f>M50*T50</f>
        <v/>
      </c>
      <c r="V50" s="4">
        <f>Q50*T50</f>
        <v/>
      </c>
      <c r="W50" s="4">
        <f>U50-V50</f>
        <v/>
      </c>
      <c r="X50" s="2" t="inlineStr">
        <is>
          <t>Changi Airport Group</t>
        </is>
      </c>
      <c r="Y50" s="2" t="inlineStr">
        <is>
          <t>End User</t>
        </is>
      </c>
      <c r="Z50" s="2" t="inlineStr">
        <is>
          <t>Mall Security Rollout</t>
        </is>
      </c>
      <c r="AA50" s="2" t="inlineStr">
        <is>
          <t>Education</t>
        </is>
      </c>
      <c r="AB50" s="2" t="inlineStr">
        <is>
          <t>Singapore</t>
        </is>
      </c>
      <c r="AC50" s="2" t="inlineStr">
        <is>
          <t>Direct</t>
        </is>
      </c>
      <c r="AD50" s="2" t="n">
        <v>2021</v>
      </c>
      <c r="AE50" s="2" t="inlineStr">
        <is>
          <t>Standalone</t>
        </is>
      </c>
      <c r="AF50" s="2" t="n">
        <v>24</v>
      </c>
      <c r="AG50" s="2" t="inlineStr">
        <is>
          <t>Gen 2</t>
        </is>
      </c>
      <c r="AH50" s="3" t="n">
        <v>124.92</v>
      </c>
      <c r="AI50" s="4" t="n">
        <v>17.08</v>
      </c>
      <c r="AJ50" s="2" t="inlineStr">
        <is>
          <t>Matched quote</t>
        </is>
      </c>
    </row>
    <row r="51">
      <c r="A51" s="7" t="inlineStr">
        <is>
          <t>SKU-005</t>
        </is>
      </c>
      <c r="B51" s="7" t="inlineStr">
        <is>
          <t>PTZ Cam 4MP</t>
        </is>
      </c>
      <c r="C51" s="7" t="inlineStr">
        <is>
          <t>PTZ</t>
        </is>
      </c>
      <c r="D51" s="7" t="inlineStr">
        <is>
          <t>4MP</t>
        </is>
      </c>
      <c r="E51" s="7" t="inlineStr">
        <is>
          <t>IP</t>
        </is>
      </c>
      <c r="F51" s="7" t="inlineStr">
        <is>
          <t>Outdoor</t>
        </is>
      </c>
      <c r="G51" s="7" t="inlineStr">
        <is>
          <t>IP66</t>
        </is>
      </c>
      <c r="H51" s="8" t="n">
        <v>978.5</v>
      </c>
      <c r="I51" s="9" t="n">
        <v>913.4299999999999</v>
      </c>
      <c r="J51" s="10" t="n">
        <v>0.0665</v>
      </c>
      <c r="K51" s="9" t="n">
        <v>65.06999999999999</v>
      </c>
      <c r="L51" s="7" t="inlineStr">
        <is>
          <t>Volume</t>
        </is>
      </c>
      <c r="M51" s="9" t="n">
        <v>913.4299999999999</v>
      </c>
      <c r="N51" s="8" t="n">
        <v>414.06</v>
      </c>
      <c r="O51" s="8" t="n">
        <v>29.62</v>
      </c>
      <c r="P51" s="8" t="n">
        <v>23.79</v>
      </c>
      <c r="Q51" s="9" t="n">
        <v>467.47</v>
      </c>
      <c r="R51" s="9">
        <f>M51-Q51</f>
        <v/>
      </c>
      <c r="S51" s="10">
        <f>IF(M51=0,"-",(R51/M51))</f>
        <v/>
      </c>
      <c r="T51" s="11" t="n">
        <v>74</v>
      </c>
      <c r="U51" s="9">
        <f>M51*T51</f>
        <v/>
      </c>
      <c r="V51" s="9">
        <f>Q51*T51</f>
        <v/>
      </c>
      <c r="W51" s="9">
        <f>U51-V51</f>
        <v/>
      </c>
      <c r="X51" s="7" t="inlineStr">
        <is>
          <t>SmartBuild Integrators</t>
        </is>
      </c>
      <c r="Y51" s="7" t="inlineStr">
        <is>
          <t>System Integrator</t>
        </is>
      </c>
      <c r="Z51" s="7" t="inlineStr">
        <is>
          <t>Port Authority Monitoring</t>
        </is>
      </c>
      <c r="AA51" s="7" t="inlineStr">
        <is>
          <t>Healthcare</t>
        </is>
      </c>
      <c r="AB51" s="7" t="inlineStr">
        <is>
          <t>Singapore</t>
        </is>
      </c>
      <c r="AC51" s="7" t="inlineStr">
        <is>
          <t>Online</t>
        </is>
      </c>
      <c r="AD51" s="7" t="n">
        <v>2021</v>
      </c>
      <c r="AE51" s="7" t="inlineStr">
        <is>
          <t>Bundle</t>
        </is>
      </c>
      <c r="AF51" s="7" t="n">
        <v>24</v>
      </c>
      <c r="AG51" s="7" t="inlineStr">
        <is>
          <t>Gen 1</t>
        </is>
      </c>
      <c r="AH51" s="8" t="n">
        <v>890.97</v>
      </c>
      <c r="AI51" s="9" t="n">
        <v>22.46</v>
      </c>
      <c r="AJ51" s="7" t="inlineStr">
        <is>
          <t>Promotional period</t>
        </is>
      </c>
    </row>
    <row r="52">
      <c r="A52" s="2" t="inlineStr">
        <is>
          <t>SKU-002</t>
        </is>
      </c>
      <c r="B52" s="2" t="inlineStr">
        <is>
          <t>Dome Cam 4MP IR</t>
        </is>
      </c>
      <c r="C52" s="2" t="inlineStr">
        <is>
          <t>Dome</t>
        </is>
      </c>
      <c r="D52" s="2" t="inlineStr">
        <is>
          <t>4MP</t>
        </is>
      </c>
      <c r="E52" s="2" t="inlineStr">
        <is>
          <t>IP</t>
        </is>
      </c>
      <c r="F52" s="2" t="inlineStr">
        <is>
          <t>Outdoor</t>
        </is>
      </c>
      <c r="G52" s="2" t="inlineStr">
        <is>
          <t>IP66</t>
        </is>
      </c>
      <c r="H52" s="3" t="n">
        <v>329.6</v>
      </c>
      <c r="I52" s="4" t="n">
        <v>255.21</v>
      </c>
      <c r="J52" s="5" t="n">
        <v>0.2257</v>
      </c>
      <c r="K52" s="4" t="n">
        <v>74.39</v>
      </c>
      <c r="L52" s="2" t="inlineStr">
        <is>
          <t>Loyalty</t>
        </is>
      </c>
      <c r="M52" s="4" t="n">
        <v>255.21</v>
      </c>
      <c r="N52" s="3" t="n">
        <v>145.61</v>
      </c>
      <c r="O52" s="3" t="n">
        <v>14.77</v>
      </c>
      <c r="P52" s="3" t="n">
        <v>7.31</v>
      </c>
      <c r="Q52" s="4" t="n">
        <v>167.69</v>
      </c>
      <c r="R52" s="4">
        <f>M52-Q52</f>
        <v/>
      </c>
      <c r="S52" s="5">
        <f>IF(M52=0,"-",(R52/M52))</f>
        <v/>
      </c>
      <c r="T52" s="6" t="n">
        <v>5</v>
      </c>
      <c r="U52" s="4">
        <f>M52*T52</f>
        <v/>
      </c>
      <c r="V52" s="4">
        <f>Q52*T52</f>
        <v/>
      </c>
      <c r="W52" s="4">
        <f>U52-V52</f>
        <v/>
      </c>
      <c r="X52" s="2" t="inlineStr">
        <is>
          <t>Pacific Security Hub</t>
        </is>
      </c>
      <c r="Y52" s="2" t="inlineStr">
        <is>
          <t>Distributor</t>
        </is>
      </c>
      <c r="Z52" s="2" t="inlineStr">
        <is>
          <t>School Campus Safety</t>
        </is>
      </c>
      <c r="AA52" s="2" t="inlineStr">
        <is>
          <t>Commercial</t>
        </is>
      </c>
      <c r="AB52" s="2" t="inlineStr">
        <is>
          <t>Thailand</t>
        </is>
      </c>
      <c r="AC52" s="2" t="inlineStr">
        <is>
          <t>Distribution</t>
        </is>
      </c>
      <c r="AD52" s="2" t="n">
        <v>2021</v>
      </c>
      <c r="AE52" s="2" t="inlineStr">
        <is>
          <t>Standalone</t>
        </is>
      </c>
      <c r="AF52" s="2" t="n">
        <v>24</v>
      </c>
      <c r="AG52" s="2" t="inlineStr">
        <is>
          <t>Gen 1</t>
        </is>
      </c>
      <c r="AH52" s="3" t="n">
        <v>267.29</v>
      </c>
      <c r="AI52" s="4" t="n">
        <v>-12.08</v>
      </c>
      <c r="AJ52" s="2" t="inlineStr"/>
    </row>
    <row r="53">
      <c r="A53" s="7" t="inlineStr">
        <is>
          <t>SKU-010</t>
        </is>
      </c>
      <c r="B53" s="7" t="inlineStr">
        <is>
          <t>Turret Cam 8MP 4K AI</t>
        </is>
      </c>
      <c r="C53" s="7" t="inlineStr">
        <is>
          <t>Turret</t>
        </is>
      </c>
      <c r="D53" s="7" t="inlineStr">
        <is>
          <t>8MP (4K)</t>
        </is>
      </c>
      <c r="E53" s="7" t="inlineStr">
        <is>
          <t>AI-enabled</t>
        </is>
      </c>
      <c r="F53" s="7" t="inlineStr">
        <is>
          <t>Outdoor</t>
        </is>
      </c>
      <c r="G53" s="7" t="inlineStr">
        <is>
          <t>IP66</t>
        </is>
      </c>
      <c r="H53" s="8" t="n">
        <v>803.4</v>
      </c>
      <c r="I53" s="9" t="n">
        <v>701.13</v>
      </c>
      <c r="J53" s="10" t="n">
        <v>0.1273</v>
      </c>
      <c r="K53" s="9" t="n">
        <v>102.27</v>
      </c>
      <c r="L53" s="7" t="inlineStr">
        <is>
          <t>Loyalty</t>
        </is>
      </c>
      <c r="M53" s="9" t="n">
        <v>701.13</v>
      </c>
      <c r="N53" s="8" t="n">
        <v>350.86</v>
      </c>
      <c r="O53" s="8" t="n">
        <v>24.37</v>
      </c>
      <c r="P53" s="8" t="n">
        <v>24.51</v>
      </c>
      <c r="Q53" s="9" t="n">
        <v>399.74</v>
      </c>
      <c r="R53" s="9">
        <f>M53-Q53</f>
        <v/>
      </c>
      <c r="S53" s="10">
        <f>IF(M53=0,"-",(R53/M53))</f>
        <v/>
      </c>
      <c r="T53" s="11" t="n">
        <v>57</v>
      </c>
      <c r="U53" s="9">
        <f>M53*T53</f>
        <v/>
      </c>
      <c r="V53" s="9">
        <f>Q53*T53</f>
        <v/>
      </c>
      <c r="W53" s="9">
        <f>U53-V53</f>
        <v/>
      </c>
      <c r="X53" s="7" t="inlineStr">
        <is>
          <t>SmartBuild Integrators</t>
        </is>
      </c>
      <c r="Y53" s="7" t="inlineStr">
        <is>
          <t>System Integrator</t>
        </is>
      </c>
      <c r="Z53" s="7" t="inlineStr">
        <is>
          <t>Airport Terminal Upgrade</t>
        </is>
      </c>
      <c r="AA53" s="7" t="inlineStr">
        <is>
          <t>Industrial</t>
        </is>
      </c>
      <c r="AB53" s="7" t="inlineStr">
        <is>
          <t>Philippines</t>
        </is>
      </c>
      <c r="AC53" s="7" t="inlineStr">
        <is>
          <t>Distribution</t>
        </is>
      </c>
      <c r="AD53" s="7" t="n">
        <v>2021</v>
      </c>
      <c r="AE53" s="7" t="inlineStr">
        <is>
          <t>Bundle</t>
        </is>
      </c>
      <c r="AF53" s="7" t="n">
        <v>12</v>
      </c>
      <c r="AG53" s="7" t="inlineStr">
        <is>
          <t>Gen 2</t>
        </is>
      </c>
      <c r="AH53" s="8" t="n">
        <v>703.92</v>
      </c>
      <c r="AI53" s="9" t="n">
        <v>-2.79</v>
      </c>
      <c r="AJ53" s="7" t="inlineStr">
        <is>
          <t>Promotional period</t>
        </is>
      </c>
    </row>
    <row r="54">
      <c r="A54" s="2" t="inlineStr">
        <is>
          <t>SKU-002</t>
        </is>
      </c>
      <c r="B54" s="2" t="inlineStr">
        <is>
          <t>Dome Cam 4MP IR</t>
        </is>
      </c>
      <c r="C54" s="2" t="inlineStr">
        <is>
          <t>Dome</t>
        </is>
      </c>
      <c r="D54" s="2" t="inlineStr">
        <is>
          <t>4MP</t>
        </is>
      </c>
      <c r="E54" s="2" t="inlineStr">
        <is>
          <t>IP</t>
        </is>
      </c>
      <c r="F54" s="2" t="inlineStr">
        <is>
          <t>Outdoor</t>
        </is>
      </c>
      <c r="G54" s="2" t="inlineStr">
        <is>
          <t>IP66</t>
        </is>
      </c>
      <c r="H54" s="3" t="n">
        <v>329.6</v>
      </c>
      <c r="I54" s="4" t="n">
        <v>298.82</v>
      </c>
      <c r="J54" s="5" t="n">
        <v>0.0934</v>
      </c>
      <c r="K54" s="4" t="n">
        <v>30.78</v>
      </c>
      <c r="L54" s="2" t="inlineStr">
        <is>
          <t>Project Bid</t>
        </is>
      </c>
      <c r="M54" s="4" t="n">
        <v>298.82</v>
      </c>
      <c r="N54" s="3" t="n">
        <v>146.99</v>
      </c>
      <c r="O54" s="3" t="n">
        <v>17.07</v>
      </c>
      <c r="P54" s="3" t="n">
        <v>8.92</v>
      </c>
      <c r="Q54" s="4" t="n">
        <v>172.98</v>
      </c>
      <c r="R54" s="4">
        <f>M54-Q54</f>
        <v/>
      </c>
      <c r="S54" s="5">
        <f>IF(M54=0,"-",(R54/M54))</f>
        <v/>
      </c>
      <c r="T54" s="6" t="n">
        <v>72</v>
      </c>
      <c r="U54" s="4">
        <f>M54*T54</f>
        <v/>
      </c>
      <c r="V54" s="4">
        <f>Q54*T54</f>
        <v/>
      </c>
      <c r="W54" s="4">
        <f>U54-V54</f>
        <v/>
      </c>
      <c r="X54" s="2" t="inlineStr">
        <is>
          <t>Pacific Security Hub</t>
        </is>
      </c>
      <c r="Y54" s="2" t="inlineStr">
        <is>
          <t>Distributor</t>
        </is>
      </c>
      <c r="Z54" s="2" t="inlineStr">
        <is>
          <t>Hospital Perimeter Security</t>
        </is>
      </c>
      <c r="AA54" s="2" t="inlineStr">
        <is>
          <t>Healthcare</t>
        </is>
      </c>
      <c r="AB54" s="2" t="inlineStr">
        <is>
          <t>Indonesia</t>
        </is>
      </c>
      <c r="AC54" s="2" t="inlineStr">
        <is>
          <t>Distribution</t>
        </is>
      </c>
      <c r="AD54" s="2" t="n">
        <v>2021</v>
      </c>
      <c r="AE54" s="2" t="inlineStr">
        <is>
          <t>Bundle</t>
        </is>
      </c>
      <c r="AF54" s="2" t="n">
        <v>24</v>
      </c>
      <c r="AG54" s="2" t="inlineStr">
        <is>
          <t>Gen 2</t>
        </is>
      </c>
      <c r="AH54" s="3" t="n">
        <v>265.13</v>
      </c>
      <c r="AI54" s="4" t="n">
        <v>33.69</v>
      </c>
      <c r="AJ54" s="2" t="inlineStr">
        <is>
          <t>Standard deal</t>
        </is>
      </c>
    </row>
    <row r="55">
      <c r="A55" s="7" t="inlineStr">
        <is>
          <t>SKU-006</t>
        </is>
      </c>
      <c r="B55" s="7" t="inlineStr">
        <is>
          <t>PTZ Cam 8MP 4K</t>
        </is>
      </c>
      <c r="C55" s="7" t="inlineStr">
        <is>
          <t>PTZ</t>
        </is>
      </c>
      <c r="D55" s="7" t="inlineStr">
        <is>
          <t>8MP (4K)</t>
        </is>
      </c>
      <c r="E55" s="7" t="inlineStr">
        <is>
          <t>IP</t>
        </is>
      </c>
      <c r="F55" s="7" t="inlineStr">
        <is>
          <t>Outdoor</t>
        </is>
      </c>
      <c r="G55" s="7" t="inlineStr">
        <is>
          <t>IP67</t>
        </is>
      </c>
      <c r="H55" s="8" t="n">
        <v>1854</v>
      </c>
      <c r="I55" s="9" t="n">
        <v>1650.8</v>
      </c>
      <c r="J55" s="10" t="n">
        <v>0.1096</v>
      </c>
      <c r="K55" s="9" t="n">
        <v>203.2</v>
      </c>
      <c r="L55" s="7" t="inlineStr">
        <is>
          <t>Project Bid</t>
        </is>
      </c>
      <c r="M55" s="9" t="n">
        <v>1650.8</v>
      </c>
      <c r="N55" s="8" t="n">
        <v>778.3</v>
      </c>
      <c r="O55" s="8" t="n">
        <v>80.13</v>
      </c>
      <c r="P55" s="8" t="n">
        <v>39.9</v>
      </c>
      <c r="Q55" s="9" t="n">
        <v>898.33</v>
      </c>
      <c r="R55" s="9">
        <f>M55-Q55</f>
        <v/>
      </c>
      <c r="S55" s="10">
        <f>IF(M55=0,"-",(R55/M55))</f>
        <v/>
      </c>
      <c r="T55" s="11" t="n">
        <v>8</v>
      </c>
      <c r="U55" s="9">
        <f>M55*T55</f>
        <v/>
      </c>
      <c r="V55" s="9">
        <f>Q55*T55</f>
        <v/>
      </c>
      <c r="W55" s="9">
        <f>U55-V55</f>
        <v/>
      </c>
      <c r="X55" s="7" t="inlineStr">
        <is>
          <t>TechDist Asia</t>
        </is>
      </c>
      <c r="Y55" s="7" t="inlineStr">
        <is>
          <t>Distributor</t>
        </is>
      </c>
      <c r="Z55" s="7" t="inlineStr">
        <is>
          <t>Hospital Perimeter Security</t>
        </is>
      </c>
      <c r="AA55" s="7" t="inlineStr">
        <is>
          <t>Government</t>
        </is>
      </c>
      <c r="AB55" s="7" t="inlineStr">
        <is>
          <t>Thailand</t>
        </is>
      </c>
      <c r="AC55" s="7" t="inlineStr">
        <is>
          <t>Online</t>
        </is>
      </c>
      <c r="AD55" s="7" t="n">
        <v>2021</v>
      </c>
      <c r="AE55" s="7" t="inlineStr">
        <is>
          <t>Standalone</t>
        </is>
      </c>
      <c r="AF55" s="7" t="n">
        <v>24</v>
      </c>
      <c r="AG55" s="7" t="inlineStr">
        <is>
          <t>Gen 1</t>
        </is>
      </c>
      <c r="AH55" s="8" t="n">
        <v>1528.49</v>
      </c>
      <c r="AI55" s="9" t="n">
        <v>122.31</v>
      </c>
      <c r="AJ55" s="7" t="inlineStr">
        <is>
          <t>Rush order</t>
        </is>
      </c>
    </row>
    <row r="56">
      <c r="A56" s="2" t="inlineStr">
        <is>
          <t>SKU-003</t>
        </is>
      </c>
      <c r="B56" s="2" t="inlineStr">
        <is>
          <t>Bullet Cam 2MP</t>
        </is>
      </c>
      <c r="C56" s="2" t="inlineStr">
        <is>
          <t>Bullet</t>
        </is>
      </c>
      <c r="D56" s="2" t="inlineStr">
        <is>
          <t>2MP</t>
        </is>
      </c>
      <c r="E56" s="2" t="inlineStr">
        <is>
          <t>Analog</t>
        </is>
      </c>
      <c r="F56" s="2" t="inlineStr">
        <is>
          <t>Outdoor</t>
        </is>
      </c>
      <c r="G56" s="2" t="inlineStr">
        <is>
          <t>IP66</t>
        </is>
      </c>
      <c r="H56" s="3" t="n">
        <v>154.5</v>
      </c>
      <c r="I56" s="4" t="n">
        <v>149.4</v>
      </c>
      <c r="J56" s="5" t="n">
        <v>0.033</v>
      </c>
      <c r="K56" s="4" t="n">
        <v>5.1</v>
      </c>
      <c r="L56" s="2" t="inlineStr">
        <is>
          <t>Project Bid</t>
        </is>
      </c>
      <c r="M56" s="4" t="n">
        <v>149.4</v>
      </c>
      <c r="N56" s="3" t="n">
        <v>65.68000000000001</v>
      </c>
      <c r="O56" s="3" t="n">
        <v>5.16</v>
      </c>
      <c r="P56" s="3" t="n">
        <v>2.05</v>
      </c>
      <c r="Q56" s="4" t="n">
        <v>72.89</v>
      </c>
      <c r="R56" s="4">
        <f>M56-Q56</f>
        <v/>
      </c>
      <c r="S56" s="5">
        <f>IF(M56=0,"-",(R56/M56))</f>
        <v/>
      </c>
      <c r="T56" s="6" t="n">
        <v>16</v>
      </c>
      <c r="U56" s="4">
        <f>M56*T56</f>
        <v/>
      </c>
      <c r="V56" s="4">
        <f>Q56*T56</f>
        <v/>
      </c>
      <c r="W56" s="4">
        <f>U56-V56</f>
        <v/>
      </c>
      <c r="X56" s="2" t="inlineStr">
        <is>
          <t>TechDist Asia</t>
        </is>
      </c>
      <c r="Y56" s="2" t="inlineStr">
        <is>
          <t>Distributor</t>
        </is>
      </c>
      <c r="Z56" s="2" t="inlineStr">
        <is>
          <t>Warehouse Monitoring</t>
        </is>
      </c>
      <c r="AA56" s="2" t="inlineStr">
        <is>
          <t>Commercial</t>
        </is>
      </c>
      <c r="AB56" s="2" t="inlineStr">
        <is>
          <t>Thailand</t>
        </is>
      </c>
      <c r="AC56" s="2" t="inlineStr">
        <is>
          <t>Direct</t>
        </is>
      </c>
      <c r="AD56" s="2" t="n">
        <v>2021</v>
      </c>
      <c r="AE56" s="2" t="inlineStr">
        <is>
          <t>Bundle</t>
        </is>
      </c>
      <c r="AF56" s="2" t="n">
        <v>36</v>
      </c>
      <c r="AG56" s="2" t="inlineStr">
        <is>
          <t>Gen 1</t>
        </is>
      </c>
      <c r="AH56" s="3" t="n">
        <v>132.16</v>
      </c>
      <c r="AI56" s="4" t="n">
        <v>17.24</v>
      </c>
      <c r="AJ56" s="2" t="inlineStr">
        <is>
          <t>Standard deal</t>
        </is>
      </c>
    </row>
    <row r="57">
      <c r="A57" s="7" t="inlineStr">
        <is>
          <t>SKU-003</t>
        </is>
      </c>
      <c r="B57" s="7" t="inlineStr">
        <is>
          <t>Bullet Cam 2MP</t>
        </is>
      </c>
      <c r="C57" s="7" t="inlineStr">
        <is>
          <t>Bullet</t>
        </is>
      </c>
      <c r="D57" s="7" t="inlineStr">
        <is>
          <t>2MP</t>
        </is>
      </c>
      <c r="E57" s="7" t="inlineStr">
        <is>
          <t>Analog</t>
        </is>
      </c>
      <c r="F57" s="7" t="inlineStr">
        <is>
          <t>Outdoor</t>
        </is>
      </c>
      <c r="G57" s="7" t="inlineStr">
        <is>
          <t>IP66</t>
        </is>
      </c>
      <c r="H57" s="8" t="n">
        <v>154.5</v>
      </c>
      <c r="I57" s="9" t="n">
        <v>144.95</v>
      </c>
      <c r="J57" s="10" t="n">
        <v>0.0618</v>
      </c>
      <c r="K57" s="9" t="n">
        <v>9.550000000000001</v>
      </c>
      <c r="L57" s="7" t="inlineStr">
        <is>
          <t>Tender</t>
        </is>
      </c>
      <c r="M57" s="9" t="n">
        <v>144.95</v>
      </c>
      <c r="N57" s="8" t="n">
        <v>66.66</v>
      </c>
      <c r="O57" s="8" t="n">
        <v>4.22</v>
      </c>
      <c r="P57" s="8" t="n">
        <v>3.33</v>
      </c>
      <c r="Q57" s="9" t="n">
        <v>74.20999999999999</v>
      </c>
      <c r="R57" s="9">
        <f>M57-Q57</f>
        <v/>
      </c>
      <c r="S57" s="10">
        <f>IF(M57=0,"-",(R57/M57))</f>
        <v/>
      </c>
      <c r="T57" s="11" t="n">
        <v>19</v>
      </c>
      <c r="U57" s="9">
        <f>M57*T57</f>
        <v/>
      </c>
      <c r="V57" s="9">
        <f>Q57*T57</f>
        <v/>
      </c>
      <c r="W57" s="9">
        <f>U57-V57</f>
        <v/>
      </c>
      <c r="X57" s="7" t="inlineStr">
        <is>
          <t>Pacific Security Hub</t>
        </is>
      </c>
      <c r="Y57" s="7" t="inlineStr">
        <is>
          <t>Distributor</t>
        </is>
      </c>
      <c r="Z57" s="7" t="inlineStr">
        <is>
          <t>School Campus Safety</t>
        </is>
      </c>
      <c r="AA57" s="7" t="inlineStr">
        <is>
          <t>Education</t>
        </is>
      </c>
      <c r="AB57" s="7" t="inlineStr">
        <is>
          <t>Philippines</t>
        </is>
      </c>
      <c r="AC57" s="7" t="inlineStr">
        <is>
          <t>Distribution</t>
        </is>
      </c>
      <c r="AD57" s="7" t="n">
        <v>2021</v>
      </c>
      <c r="AE57" s="7" t="inlineStr">
        <is>
          <t>Standalone</t>
        </is>
      </c>
      <c r="AF57" s="7" t="n">
        <v>24</v>
      </c>
      <c r="AG57" s="7" t="inlineStr">
        <is>
          <t>Gen 1</t>
        </is>
      </c>
      <c r="AH57" s="8" t="n">
        <v>139.62</v>
      </c>
      <c r="AI57" s="9" t="n">
        <v>5.33</v>
      </c>
      <c r="AJ57" s="7" t="inlineStr">
        <is>
          <t>End-of-life stock</t>
        </is>
      </c>
    </row>
    <row r="58">
      <c r="A58" s="2" t="inlineStr">
        <is>
          <t>SKU-007</t>
        </is>
      </c>
      <c r="B58" s="2" t="inlineStr">
        <is>
          <t>Fisheye Cam 4MP</t>
        </is>
      </c>
      <c r="C58" s="2" t="inlineStr">
        <is>
          <t>Fisheye</t>
        </is>
      </c>
      <c r="D58" s="2" t="inlineStr">
        <is>
          <t>4MP</t>
        </is>
      </c>
      <c r="E58" s="2" t="inlineStr">
        <is>
          <t>IP</t>
        </is>
      </c>
      <c r="F58" s="2" t="inlineStr">
        <is>
          <t>Indoor</t>
        </is>
      </c>
      <c r="G58" s="2" t="inlineStr">
        <is>
          <t>IP65</t>
        </is>
      </c>
      <c r="H58" s="3" t="n">
        <v>638.6</v>
      </c>
      <c r="I58" s="4" t="n">
        <v>570.97</v>
      </c>
      <c r="J58" s="5" t="n">
        <v>0.1059</v>
      </c>
      <c r="K58" s="4" t="n">
        <v>67.63</v>
      </c>
      <c r="L58" s="2" t="inlineStr">
        <is>
          <t>Distributor</t>
        </is>
      </c>
      <c r="M58" s="4" t="n">
        <v>570.97</v>
      </c>
      <c r="N58" s="3" t="n">
        <v>279.17</v>
      </c>
      <c r="O58" s="3" t="n">
        <v>24.74</v>
      </c>
      <c r="P58" s="3" t="n">
        <v>13.17</v>
      </c>
      <c r="Q58" s="4" t="n">
        <v>317.08</v>
      </c>
      <c r="R58" s="4">
        <f>M58-Q58</f>
        <v/>
      </c>
      <c r="S58" s="5">
        <f>IF(M58=0,"-",(R58/M58))</f>
        <v/>
      </c>
      <c r="T58" s="6" t="n">
        <v>60</v>
      </c>
      <c r="U58" s="4">
        <f>M58*T58</f>
        <v/>
      </c>
      <c r="V58" s="4">
        <f>Q58*T58</f>
        <v/>
      </c>
      <c r="W58" s="4">
        <f>U58-V58</f>
        <v/>
      </c>
      <c r="X58" s="2" t="inlineStr">
        <is>
          <t>Metro Retail Group</t>
        </is>
      </c>
      <c r="Y58" s="2" t="inlineStr">
        <is>
          <t>End User</t>
        </is>
      </c>
      <c r="Z58" s="2" t="inlineStr">
        <is>
          <t>CBD Traffic Surveillance</t>
        </is>
      </c>
      <c r="AA58" s="2" t="inlineStr">
        <is>
          <t>Retail</t>
        </is>
      </c>
      <c r="AB58" s="2" t="inlineStr">
        <is>
          <t>Singapore</t>
        </is>
      </c>
      <c r="AC58" s="2" t="inlineStr">
        <is>
          <t>Distribution</t>
        </is>
      </c>
      <c r="AD58" s="2" t="n">
        <v>2021</v>
      </c>
      <c r="AE58" s="2" t="inlineStr">
        <is>
          <t>Standalone</t>
        </is>
      </c>
      <c r="AF58" s="2" t="n">
        <v>12</v>
      </c>
      <c r="AG58" s="2" t="inlineStr">
        <is>
          <t>Gen 2</t>
        </is>
      </c>
      <c r="AH58" s="3" t="n">
        <v>582.37</v>
      </c>
      <c r="AI58" s="4" t="n">
        <v>-11.4</v>
      </c>
      <c r="AJ58" s="2" t="inlineStr">
        <is>
          <t>Matched quote</t>
        </is>
      </c>
    </row>
    <row r="59">
      <c r="A59" s="7" t="inlineStr">
        <is>
          <t>SKU-004</t>
        </is>
      </c>
      <c r="B59" s="7" t="inlineStr">
        <is>
          <t>Bullet Cam 4MP AI</t>
        </is>
      </c>
      <c r="C59" s="7" t="inlineStr">
        <is>
          <t>Bullet</t>
        </is>
      </c>
      <c r="D59" s="7" t="inlineStr">
        <is>
          <t>4MP</t>
        </is>
      </c>
      <c r="E59" s="7" t="inlineStr">
        <is>
          <t>AI-enabled</t>
        </is>
      </c>
      <c r="F59" s="7" t="inlineStr">
        <is>
          <t>Outdoor</t>
        </is>
      </c>
      <c r="G59" s="7" t="inlineStr">
        <is>
          <t>IP67</t>
        </is>
      </c>
      <c r="H59" s="8" t="n">
        <v>494.4</v>
      </c>
      <c r="I59" s="9" t="n">
        <v>407.39</v>
      </c>
      <c r="J59" s="10" t="n">
        <v>0.176</v>
      </c>
      <c r="K59" s="9" t="n">
        <v>87.01000000000001</v>
      </c>
      <c r="L59" s="7" t="inlineStr">
        <is>
          <t>Distributor</t>
        </is>
      </c>
      <c r="M59" s="9" t="n">
        <v>407.39</v>
      </c>
      <c r="N59" s="8" t="n">
        <v>213.84</v>
      </c>
      <c r="O59" s="8" t="n">
        <v>22.98</v>
      </c>
      <c r="P59" s="8" t="n">
        <v>14.76</v>
      </c>
      <c r="Q59" s="9" t="n">
        <v>251.58</v>
      </c>
      <c r="R59" s="9">
        <f>M59-Q59</f>
        <v/>
      </c>
      <c r="S59" s="10">
        <f>IF(M59=0,"-",(R59/M59))</f>
        <v/>
      </c>
      <c r="T59" s="11" t="n">
        <v>65</v>
      </c>
      <c r="U59" s="9">
        <f>M59*T59</f>
        <v/>
      </c>
      <c r="V59" s="9">
        <f>Q59*T59</f>
        <v/>
      </c>
      <c r="W59" s="9">
        <f>U59-V59</f>
        <v/>
      </c>
      <c r="X59" s="7" t="inlineStr">
        <is>
          <t>SmartBuild Integrators</t>
        </is>
      </c>
      <c r="Y59" s="7" t="inlineStr">
        <is>
          <t>System Integrator</t>
        </is>
      </c>
      <c r="Z59" s="7" t="inlineStr">
        <is>
          <t>Smart City Initiative</t>
        </is>
      </c>
      <c r="AA59" s="7" t="inlineStr">
        <is>
          <t>Transport</t>
        </is>
      </c>
      <c r="AB59" s="7" t="inlineStr">
        <is>
          <t>Thailand</t>
        </is>
      </c>
      <c r="AC59" s="7" t="inlineStr">
        <is>
          <t>Direct</t>
        </is>
      </c>
      <c r="AD59" s="7" t="n">
        <v>2021</v>
      </c>
      <c r="AE59" s="7" t="inlineStr">
        <is>
          <t>Standalone</t>
        </is>
      </c>
      <c r="AF59" s="7" t="n">
        <v>36</v>
      </c>
      <c r="AG59" s="7" t="inlineStr">
        <is>
          <t>Gen 2</t>
        </is>
      </c>
      <c r="AH59" s="8" t="n">
        <v>452.76</v>
      </c>
      <c r="AI59" s="9" t="n">
        <v>-45.37</v>
      </c>
      <c r="AJ59" s="7" t="inlineStr">
        <is>
          <t>Matched quote</t>
        </is>
      </c>
    </row>
    <row r="60">
      <c r="A60" s="2" t="inlineStr">
        <is>
          <t>SKU-009</t>
        </is>
      </c>
      <c r="B60" s="2" t="inlineStr">
        <is>
          <t>Turret Cam 4MP</t>
        </is>
      </c>
      <c r="C60" s="2" t="inlineStr">
        <is>
          <t>Turret</t>
        </is>
      </c>
      <c r="D60" s="2" t="inlineStr">
        <is>
          <t>4MP</t>
        </is>
      </c>
      <c r="E60" s="2" t="inlineStr">
        <is>
          <t>IP</t>
        </is>
      </c>
      <c r="F60" s="2" t="inlineStr">
        <is>
          <t>Indoor</t>
        </is>
      </c>
      <c r="G60" s="2" t="inlineStr">
        <is>
          <t>IP65</t>
        </is>
      </c>
      <c r="H60" s="3" t="n">
        <v>298.7</v>
      </c>
      <c r="I60" s="4" t="n">
        <v>246.7</v>
      </c>
      <c r="J60" s="5" t="n">
        <v>0.1741</v>
      </c>
      <c r="K60" s="4" t="n">
        <v>52</v>
      </c>
      <c r="L60" s="2" t="inlineStr">
        <is>
          <t>Project Bid</t>
        </is>
      </c>
      <c r="M60" s="4" t="n">
        <v>246.7</v>
      </c>
      <c r="N60" s="3" t="n">
        <v>127.59</v>
      </c>
      <c r="O60" s="3" t="n">
        <v>7.76</v>
      </c>
      <c r="P60" s="3" t="n">
        <v>5.55</v>
      </c>
      <c r="Q60" s="4" t="n">
        <v>140.9</v>
      </c>
      <c r="R60" s="4">
        <f>M60-Q60</f>
        <v/>
      </c>
      <c r="S60" s="5">
        <f>IF(M60=0,"-",(R60/M60))</f>
        <v/>
      </c>
      <c r="T60" s="6" t="n">
        <v>35</v>
      </c>
      <c r="U60" s="4">
        <f>M60*T60</f>
        <v/>
      </c>
      <c r="V60" s="4">
        <f>Q60*T60</f>
        <v/>
      </c>
      <c r="W60" s="4">
        <f>U60-V60</f>
        <v/>
      </c>
      <c r="X60" s="2" t="inlineStr">
        <is>
          <t>SmartBuild Integrators</t>
        </is>
      </c>
      <c r="Y60" s="2" t="inlineStr">
        <is>
          <t>System Integrator</t>
        </is>
      </c>
      <c r="Z60" s="2" t="inlineStr">
        <is>
          <t>Hospital Perimeter Security</t>
        </is>
      </c>
      <c r="AA60" s="2" t="inlineStr">
        <is>
          <t>Industrial</t>
        </is>
      </c>
      <c r="AB60" s="2" t="inlineStr">
        <is>
          <t>Singapore</t>
        </is>
      </c>
      <c r="AC60" s="2" t="inlineStr">
        <is>
          <t>Distribution</t>
        </is>
      </c>
      <c r="AD60" s="2" t="n">
        <v>2021</v>
      </c>
      <c r="AE60" s="2" t="inlineStr">
        <is>
          <t>Standalone</t>
        </is>
      </c>
      <c r="AF60" s="2" t="n">
        <v>12</v>
      </c>
      <c r="AG60" s="2" t="inlineStr">
        <is>
          <t>Gen 1</t>
        </is>
      </c>
      <c r="AH60" s="3" t="n">
        <v>251.1</v>
      </c>
      <c r="AI60" s="4" t="n">
        <v>-4.4</v>
      </c>
      <c r="AJ60" s="2" t="inlineStr"/>
    </row>
    <row r="61">
      <c r="A61" s="7" t="inlineStr">
        <is>
          <t>SKU-007</t>
        </is>
      </c>
      <c r="B61" s="7" t="inlineStr">
        <is>
          <t>Fisheye Cam 4MP</t>
        </is>
      </c>
      <c r="C61" s="7" t="inlineStr">
        <is>
          <t>Fisheye</t>
        </is>
      </c>
      <c r="D61" s="7" t="inlineStr">
        <is>
          <t>4MP</t>
        </is>
      </c>
      <c r="E61" s="7" t="inlineStr">
        <is>
          <t>IP</t>
        </is>
      </c>
      <c r="F61" s="7" t="inlineStr">
        <is>
          <t>Indoor</t>
        </is>
      </c>
      <c r="G61" s="7" t="inlineStr">
        <is>
          <t>IP65</t>
        </is>
      </c>
      <c r="H61" s="8" t="n">
        <v>638.6</v>
      </c>
      <c r="I61" s="9" t="n">
        <v>614.4</v>
      </c>
      <c r="J61" s="10" t="n">
        <v>0.0379</v>
      </c>
      <c r="K61" s="9" t="n">
        <v>24.2</v>
      </c>
      <c r="L61" s="7" t="inlineStr">
        <is>
          <t>Tender</t>
        </is>
      </c>
      <c r="M61" s="9" t="n">
        <v>614.4</v>
      </c>
      <c r="N61" s="8" t="n">
        <v>288.46</v>
      </c>
      <c r="O61" s="8" t="n">
        <v>15.8</v>
      </c>
      <c r="P61" s="8" t="n">
        <v>14.87</v>
      </c>
      <c r="Q61" s="9" t="n">
        <v>319.13</v>
      </c>
      <c r="R61" s="9">
        <f>M61-Q61</f>
        <v/>
      </c>
      <c r="S61" s="10">
        <f>IF(M61=0,"-",(R61/M61))</f>
        <v/>
      </c>
      <c r="T61" s="11" t="n">
        <v>38</v>
      </c>
      <c r="U61" s="9">
        <f>M61*T61</f>
        <v/>
      </c>
      <c r="V61" s="9">
        <f>Q61*T61</f>
        <v/>
      </c>
      <c r="W61" s="9">
        <f>U61-V61</f>
        <v/>
      </c>
      <c r="X61" s="7" t="inlineStr">
        <is>
          <t>SafeCity Solutions</t>
        </is>
      </c>
      <c r="Y61" s="7" t="inlineStr">
        <is>
          <t>System Integrator</t>
        </is>
      </c>
      <c r="Z61" s="7" t="inlineStr">
        <is>
          <t>Hospital Perimeter Security</t>
        </is>
      </c>
      <c r="AA61" s="7" t="inlineStr">
        <is>
          <t>Industrial</t>
        </is>
      </c>
      <c r="AB61" s="7" t="inlineStr">
        <is>
          <t>Philippines</t>
        </is>
      </c>
      <c r="AC61" s="7" t="inlineStr">
        <is>
          <t>Online</t>
        </is>
      </c>
      <c r="AD61" s="7" t="n">
        <v>2021</v>
      </c>
      <c r="AE61" s="7" t="inlineStr">
        <is>
          <t>Standalone</t>
        </is>
      </c>
      <c r="AF61" s="7" t="n">
        <v>36</v>
      </c>
      <c r="AG61" s="7" t="inlineStr">
        <is>
          <t>Gen 2</t>
        </is>
      </c>
      <c r="AH61" s="8" t="n">
        <v>587.3099999999999</v>
      </c>
      <c r="AI61" s="9" t="n">
        <v>27.09</v>
      </c>
      <c r="AJ61" s="7" t="inlineStr"/>
    </row>
    <row r="62">
      <c r="A62" s="2" t="inlineStr">
        <is>
          <t>SKU-002</t>
        </is>
      </c>
      <c r="B62" s="2" t="inlineStr">
        <is>
          <t>Dome Cam 4MP IR</t>
        </is>
      </c>
      <c r="C62" s="2" t="inlineStr">
        <is>
          <t>Dome</t>
        </is>
      </c>
      <c r="D62" s="2" t="inlineStr">
        <is>
          <t>4MP</t>
        </is>
      </c>
      <c r="E62" s="2" t="inlineStr">
        <is>
          <t>IP</t>
        </is>
      </c>
      <c r="F62" s="2" t="inlineStr">
        <is>
          <t>Outdoor</t>
        </is>
      </c>
      <c r="G62" s="2" t="inlineStr">
        <is>
          <t>IP66</t>
        </is>
      </c>
      <c r="H62" s="3" t="n">
        <v>329.6</v>
      </c>
      <c r="I62" s="4" t="n">
        <v>316.38</v>
      </c>
      <c r="J62" s="5" t="n">
        <v>0.0401</v>
      </c>
      <c r="K62" s="4" t="n">
        <v>13.22</v>
      </c>
      <c r="L62" s="2" t="inlineStr">
        <is>
          <t>Project Bid</t>
        </is>
      </c>
      <c r="M62" s="4" t="n">
        <v>316.38</v>
      </c>
      <c r="N62" s="3" t="n">
        <v>150.02</v>
      </c>
      <c r="O62" s="3" t="n">
        <v>15.86</v>
      </c>
      <c r="P62" s="3" t="n">
        <v>5.2</v>
      </c>
      <c r="Q62" s="4" t="n">
        <v>171.08</v>
      </c>
      <c r="R62" s="4">
        <f>M62-Q62</f>
        <v/>
      </c>
      <c r="S62" s="5">
        <f>IF(M62=0,"-",(R62/M62))</f>
        <v/>
      </c>
      <c r="T62" s="6" t="n">
        <v>49</v>
      </c>
      <c r="U62" s="4">
        <f>M62*T62</f>
        <v/>
      </c>
      <c r="V62" s="4">
        <f>Q62*T62</f>
        <v/>
      </c>
      <c r="W62" s="4">
        <f>U62-V62</f>
        <v/>
      </c>
      <c r="X62" s="2" t="inlineStr">
        <is>
          <t>SkyNet Resellers</t>
        </is>
      </c>
      <c r="Y62" s="2" t="inlineStr">
        <is>
          <t>Reseller</t>
        </is>
      </c>
      <c r="Z62" s="2" t="inlineStr">
        <is>
          <t>City Surveillance Phase 1</t>
        </is>
      </c>
      <c r="AA62" s="2" t="inlineStr">
        <is>
          <t>Industrial</t>
        </is>
      </c>
      <c r="AB62" s="2" t="inlineStr">
        <is>
          <t>Philippines</t>
        </is>
      </c>
      <c r="AC62" s="2" t="inlineStr">
        <is>
          <t>Online</t>
        </is>
      </c>
      <c r="AD62" s="2" t="n">
        <v>2021</v>
      </c>
      <c r="AE62" s="2" t="inlineStr">
        <is>
          <t>Standalone</t>
        </is>
      </c>
      <c r="AF62" s="2" t="n">
        <v>12</v>
      </c>
      <c r="AG62" s="2" t="inlineStr">
        <is>
          <t>Gen 2</t>
        </is>
      </c>
      <c r="AH62" s="3" t="n">
        <v>280.71</v>
      </c>
      <c r="AI62" s="4" t="n">
        <v>35.67</v>
      </c>
      <c r="AJ62" s="2" t="inlineStr">
        <is>
          <t>Matched quote</t>
        </is>
      </c>
    </row>
    <row r="63">
      <c r="A63" s="7" t="inlineStr">
        <is>
          <t>SKU-009</t>
        </is>
      </c>
      <c r="B63" s="7" t="inlineStr">
        <is>
          <t>Turret Cam 4MP</t>
        </is>
      </c>
      <c r="C63" s="7" t="inlineStr">
        <is>
          <t>Turret</t>
        </is>
      </c>
      <c r="D63" s="7" t="inlineStr">
        <is>
          <t>4MP</t>
        </is>
      </c>
      <c r="E63" s="7" t="inlineStr">
        <is>
          <t>IP</t>
        </is>
      </c>
      <c r="F63" s="7" t="inlineStr">
        <is>
          <t>Indoor</t>
        </is>
      </c>
      <c r="G63" s="7" t="inlineStr">
        <is>
          <t>IP65</t>
        </is>
      </c>
      <c r="H63" s="8" t="n">
        <v>298.7</v>
      </c>
      <c r="I63" s="9" t="n">
        <v>273.91</v>
      </c>
      <c r="J63" s="10" t="n">
        <v>0.083</v>
      </c>
      <c r="K63" s="9" t="n">
        <v>24.79</v>
      </c>
      <c r="L63" s="7" t="inlineStr">
        <is>
          <t>Volume</t>
        </is>
      </c>
      <c r="M63" s="9" t="n">
        <v>273.91</v>
      </c>
      <c r="N63" s="8" t="n">
        <v>130.29</v>
      </c>
      <c r="O63" s="8" t="n">
        <v>14.84</v>
      </c>
      <c r="P63" s="8" t="n">
        <v>3.54</v>
      </c>
      <c r="Q63" s="9" t="n">
        <v>148.67</v>
      </c>
      <c r="R63" s="9">
        <f>M63-Q63</f>
        <v/>
      </c>
      <c r="S63" s="10">
        <f>IF(M63=0,"-",(R63/M63))</f>
        <v/>
      </c>
      <c r="T63" s="11" t="n">
        <v>61</v>
      </c>
      <c r="U63" s="9">
        <f>M63*T63</f>
        <v/>
      </c>
      <c r="V63" s="9">
        <f>Q63*T63</f>
        <v/>
      </c>
      <c r="W63" s="9">
        <f>U63-V63</f>
        <v/>
      </c>
      <c r="X63" s="7" t="inlineStr">
        <is>
          <t>SkyNet Resellers</t>
        </is>
      </c>
      <c r="Y63" s="7" t="inlineStr">
        <is>
          <t>Reseller</t>
        </is>
      </c>
      <c r="Z63" s="7" t="inlineStr">
        <is>
          <t>Public Housing CCTV Program</t>
        </is>
      </c>
      <c r="AA63" s="7" t="inlineStr">
        <is>
          <t>Commercial</t>
        </is>
      </c>
      <c r="AB63" s="7" t="inlineStr">
        <is>
          <t>Malaysia</t>
        </is>
      </c>
      <c r="AC63" s="7" t="inlineStr">
        <is>
          <t>Direct</t>
        </is>
      </c>
      <c r="AD63" s="7" t="n">
        <v>2021</v>
      </c>
      <c r="AE63" s="7" t="inlineStr">
        <is>
          <t>Bundle</t>
        </is>
      </c>
      <c r="AF63" s="7" t="n">
        <v>36</v>
      </c>
      <c r="AG63" s="7" t="inlineStr">
        <is>
          <t>Gen 2</t>
        </is>
      </c>
      <c r="AH63" s="8" t="n">
        <v>261.83</v>
      </c>
      <c r="AI63" s="9" t="n">
        <v>12.08</v>
      </c>
      <c r="AJ63" s="7" t="inlineStr">
        <is>
          <t>Promotional period</t>
        </is>
      </c>
    </row>
    <row r="64">
      <c r="A64" s="2" t="inlineStr">
        <is>
          <t>SKU-005</t>
        </is>
      </c>
      <c r="B64" s="2" t="inlineStr">
        <is>
          <t>PTZ Cam 4MP</t>
        </is>
      </c>
      <c r="C64" s="2" t="inlineStr">
        <is>
          <t>PTZ</t>
        </is>
      </c>
      <c r="D64" s="2" t="inlineStr">
        <is>
          <t>4MP</t>
        </is>
      </c>
      <c r="E64" s="2" t="inlineStr">
        <is>
          <t>IP</t>
        </is>
      </c>
      <c r="F64" s="2" t="inlineStr">
        <is>
          <t>Outdoor</t>
        </is>
      </c>
      <c r="G64" s="2" t="inlineStr">
        <is>
          <t>IP66</t>
        </is>
      </c>
      <c r="H64" s="3" t="n">
        <v>978.5</v>
      </c>
      <c r="I64" s="4" t="n">
        <v>884.76</v>
      </c>
      <c r="J64" s="5" t="n">
        <v>0.0958</v>
      </c>
      <c r="K64" s="4" t="n">
        <v>93.73999999999999</v>
      </c>
      <c r="L64" s="2" t="inlineStr">
        <is>
          <t>Volume</t>
        </is>
      </c>
      <c r="M64" s="4" t="n">
        <v>884.76</v>
      </c>
      <c r="N64" s="3" t="n">
        <v>453.7</v>
      </c>
      <c r="O64" s="3" t="n">
        <v>53.24</v>
      </c>
      <c r="P64" s="3" t="n">
        <v>24.73</v>
      </c>
      <c r="Q64" s="4" t="n">
        <v>531.67</v>
      </c>
      <c r="R64" s="4">
        <f>M64-Q64</f>
        <v/>
      </c>
      <c r="S64" s="5">
        <f>IF(M64=0,"-",(R64/M64))</f>
        <v/>
      </c>
      <c r="T64" s="6" t="n">
        <v>60</v>
      </c>
      <c r="U64" s="4">
        <f>M64*T64</f>
        <v/>
      </c>
      <c r="V64" s="4">
        <f>Q64*T64</f>
        <v/>
      </c>
      <c r="W64" s="4">
        <f>U64-V64</f>
        <v/>
      </c>
      <c r="X64" s="2" t="inlineStr">
        <is>
          <t>SecureVision Pte Ltd</t>
        </is>
      </c>
      <c r="Y64" s="2" t="inlineStr">
        <is>
          <t>System Integrator</t>
        </is>
      </c>
      <c r="Z64" s="2" t="inlineStr">
        <is>
          <t>Warehouse Monitoring</t>
        </is>
      </c>
      <c r="AA64" s="2" t="inlineStr">
        <is>
          <t>Retail</t>
        </is>
      </c>
      <c r="AB64" s="2" t="inlineStr">
        <is>
          <t>Philippines</t>
        </is>
      </c>
      <c r="AC64" s="2" t="inlineStr">
        <is>
          <t>Online</t>
        </is>
      </c>
      <c r="AD64" s="2" t="n">
        <v>2021</v>
      </c>
      <c r="AE64" s="2" t="inlineStr">
        <is>
          <t>Bundle</t>
        </is>
      </c>
      <c r="AF64" s="2" t="n">
        <v>24</v>
      </c>
      <c r="AG64" s="2" t="inlineStr">
        <is>
          <t>Gen 2</t>
        </is>
      </c>
      <c r="AH64" s="3" t="n">
        <v>882.0599999999999</v>
      </c>
      <c r="AI64" s="4" t="n">
        <v>2.7</v>
      </c>
      <c r="AJ64" s="2" t="inlineStr">
        <is>
          <t>Matched quote</t>
        </is>
      </c>
    </row>
    <row r="65">
      <c r="A65" s="7" t="inlineStr">
        <is>
          <t>SKU-007</t>
        </is>
      </c>
      <c r="B65" s="7" t="inlineStr">
        <is>
          <t>Fisheye Cam 4MP</t>
        </is>
      </c>
      <c r="C65" s="7" t="inlineStr">
        <is>
          <t>Fisheye</t>
        </is>
      </c>
      <c r="D65" s="7" t="inlineStr">
        <is>
          <t>4MP</t>
        </is>
      </c>
      <c r="E65" s="7" t="inlineStr">
        <is>
          <t>IP</t>
        </is>
      </c>
      <c r="F65" s="7" t="inlineStr">
        <is>
          <t>Indoor</t>
        </is>
      </c>
      <c r="G65" s="7" t="inlineStr">
        <is>
          <t>IP65</t>
        </is>
      </c>
      <c r="H65" s="8" t="n">
        <v>638.6</v>
      </c>
      <c r="I65" s="9" t="n">
        <v>502.83</v>
      </c>
      <c r="J65" s="10" t="n">
        <v>0.2126</v>
      </c>
      <c r="K65" s="9" t="n">
        <v>135.77</v>
      </c>
      <c r="L65" s="7" t="inlineStr">
        <is>
          <t>Distributor</t>
        </is>
      </c>
      <c r="M65" s="9" t="n">
        <v>502.83</v>
      </c>
      <c r="N65" s="8" t="n">
        <v>264.81</v>
      </c>
      <c r="O65" s="8" t="n">
        <v>20.58</v>
      </c>
      <c r="P65" s="8" t="n">
        <v>5.4</v>
      </c>
      <c r="Q65" s="9" t="n">
        <v>290.79</v>
      </c>
      <c r="R65" s="9">
        <f>M65-Q65</f>
        <v/>
      </c>
      <c r="S65" s="10">
        <f>IF(M65=0,"-",(R65/M65))</f>
        <v/>
      </c>
      <c r="T65" s="11" t="n">
        <v>8</v>
      </c>
      <c r="U65" s="9">
        <f>M65*T65</f>
        <v/>
      </c>
      <c r="V65" s="9">
        <f>Q65*T65</f>
        <v/>
      </c>
      <c r="W65" s="9">
        <f>U65-V65</f>
        <v/>
      </c>
      <c r="X65" s="7" t="inlineStr">
        <is>
          <t>Pacific Security Hub</t>
        </is>
      </c>
      <c r="Y65" s="7" t="inlineStr">
        <is>
          <t>Distributor</t>
        </is>
      </c>
      <c r="Z65" s="7" t="inlineStr">
        <is>
          <t>City Surveillance Phase 1</t>
        </is>
      </c>
      <c r="AA65" s="7" t="inlineStr">
        <is>
          <t>Transport</t>
        </is>
      </c>
      <c r="AB65" s="7" t="inlineStr">
        <is>
          <t>Thailand</t>
        </is>
      </c>
      <c r="AC65" s="7" t="inlineStr">
        <is>
          <t>Online</t>
        </is>
      </c>
      <c r="AD65" s="7" t="n">
        <v>2021</v>
      </c>
      <c r="AE65" s="7" t="inlineStr">
        <is>
          <t>Standalone</t>
        </is>
      </c>
      <c r="AF65" s="7" t="n">
        <v>36</v>
      </c>
      <c r="AG65" s="7" t="inlineStr">
        <is>
          <t>Gen 2</t>
        </is>
      </c>
      <c r="AH65" s="8" t="n">
        <v>580.66</v>
      </c>
      <c r="AI65" s="9" t="n">
        <v>-77.83</v>
      </c>
      <c r="AJ65" s="7" t="inlineStr"/>
    </row>
    <row r="66">
      <c r="A66" s="2" t="inlineStr">
        <is>
          <t>SKU-008</t>
        </is>
      </c>
      <c r="B66" s="2" t="inlineStr">
        <is>
          <t>Thermal Cam</t>
        </is>
      </c>
      <c r="C66" s="2" t="inlineStr">
        <is>
          <t>Bullet</t>
        </is>
      </c>
      <c r="D66" s="2" t="inlineStr">
        <is>
          <t>2MP</t>
        </is>
      </c>
      <c r="E66" s="2" t="inlineStr">
        <is>
          <t>Thermal</t>
        </is>
      </c>
      <c r="F66" s="2" t="inlineStr">
        <is>
          <t>Outdoor</t>
        </is>
      </c>
      <c r="G66" s="2" t="inlineStr">
        <is>
          <t>IP67</t>
        </is>
      </c>
      <c r="H66" s="3" t="n">
        <v>2472</v>
      </c>
      <c r="I66" s="4" t="n">
        <v>1906.65</v>
      </c>
      <c r="J66" s="5" t="n">
        <v>0.2287</v>
      </c>
      <c r="K66" s="4" t="n">
        <v>565.35</v>
      </c>
      <c r="L66" s="2" t="inlineStr">
        <is>
          <t>Volume</t>
        </is>
      </c>
      <c r="M66" s="4" t="n">
        <v>1906.65</v>
      </c>
      <c r="N66" s="3" t="n">
        <v>1095.37</v>
      </c>
      <c r="O66" s="3" t="n">
        <v>104.33</v>
      </c>
      <c r="P66" s="3" t="n">
        <v>38.83</v>
      </c>
      <c r="Q66" s="4" t="n">
        <v>1238.53</v>
      </c>
      <c r="R66" s="4">
        <f>M66-Q66</f>
        <v/>
      </c>
      <c r="S66" s="5">
        <f>IF(M66=0,"-",(R66/M66))</f>
        <v/>
      </c>
      <c r="T66" s="6" t="n">
        <v>58</v>
      </c>
      <c r="U66" s="4">
        <f>M66*T66</f>
        <v/>
      </c>
      <c r="V66" s="4">
        <f>Q66*T66</f>
        <v/>
      </c>
      <c r="W66" s="4">
        <f>U66-V66</f>
        <v/>
      </c>
      <c r="X66" s="2" t="inlineStr">
        <is>
          <t>TechDist Asia</t>
        </is>
      </c>
      <c r="Y66" s="2" t="inlineStr">
        <is>
          <t>Distributor</t>
        </is>
      </c>
      <c r="Z66" s="2" t="inlineStr">
        <is>
          <t>Port Authority Monitoring</t>
        </is>
      </c>
      <c r="AA66" s="2" t="inlineStr">
        <is>
          <t>Education</t>
        </is>
      </c>
      <c r="AB66" s="2" t="inlineStr">
        <is>
          <t>Indonesia</t>
        </is>
      </c>
      <c r="AC66" s="2" t="inlineStr">
        <is>
          <t>Direct</t>
        </is>
      </c>
      <c r="AD66" s="2" t="n">
        <v>2021</v>
      </c>
      <c r="AE66" s="2" t="inlineStr">
        <is>
          <t>Standalone</t>
        </is>
      </c>
      <c r="AF66" s="2" t="n">
        <v>36</v>
      </c>
      <c r="AG66" s="2" t="inlineStr">
        <is>
          <t>Gen 1</t>
        </is>
      </c>
      <c r="AH66" s="3" t="n">
        <v>1987.5</v>
      </c>
      <c r="AI66" s="4" t="n">
        <v>-80.84999999999999</v>
      </c>
      <c r="AJ66" s="2" t="inlineStr">
        <is>
          <t>End-of-life stock</t>
        </is>
      </c>
    </row>
    <row r="67">
      <c r="A67" s="7" t="inlineStr">
        <is>
          <t>SKU-003</t>
        </is>
      </c>
      <c r="B67" s="7" t="inlineStr">
        <is>
          <t>Bullet Cam 2MP</t>
        </is>
      </c>
      <c r="C67" s="7" t="inlineStr">
        <is>
          <t>Bullet</t>
        </is>
      </c>
      <c r="D67" s="7" t="inlineStr">
        <is>
          <t>2MP</t>
        </is>
      </c>
      <c r="E67" s="7" t="inlineStr">
        <is>
          <t>Analog</t>
        </is>
      </c>
      <c r="F67" s="7" t="inlineStr">
        <is>
          <t>Outdoor</t>
        </is>
      </c>
      <c r="G67" s="7" t="inlineStr">
        <is>
          <t>IP66</t>
        </is>
      </c>
      <c r="H67" s="8" t="n">
        <v>154.5</v>
      </c>
      <c r="I67" s="9" t="n">
        <v>118.81</v>
      </c>
      <c r="J67" s="10" t="n">
        <v>0.231</v>
      </c>
      <c r="K67" s="9" t="n">
        <v>35.69</v>
      </c>
      <c r="L67" s="7" t="inlineStr">
        <is>
          <t>Volume</t>
        </is>
      </c>
      <c r="M67" s="9" t="n">
        <v>118.81</v>
      </c>
      <c r="N67" s="8" t="n">
        <v>67.16</v>
      </c>
      <c r="O67" s="8" t="n">
        <v>7.26</v>
      </c>
      <c r="P67" s="8" t="n">
        <v>2.21</v>
      </c>
      <c r="Q67" s="9" t="n">
        <v>76.63</v>
      </c>
      <c r="R67" s="9">
        <f>M67-Q67</f>
        <v/>
      </c>
      <c r="S67" s="10">
        <f>IF(M67=0,"-",(R67/M67))</f>
        <v/>
      </c>
      <c r="T67" s="11" t="n">
        <v>63</v>
      </c>
      <c r="U67" s="9">
        <f>M67*T67</f>
        <v/>
      </c>
      <c r="V67" s="9">
        <f>Q67*T67</f>
        <v/>
      </c>
      <c r="W67" s="9">
        <f>U67-V67</f>
        <v/>
      </c>
      <c r="X67" s="7" t="inlineStr">
        <is>
          <t>SafeCity Solutions</t>
        </is>
      </c>
      <c r="Y67" s="7" t="inlineStr">
        <is>
          <t>System Integrator</t>
        </is>
      </c>
      <c r="Z67" s="7" t="inlineStr">
        <is>
          <t>School Campus Safety</t>
        </is>
      </c>
      <c r="AA67" s="7" t="inlineStr">
        <is>
          <t>Retail</t>
        </is>
      </c>
      <c r="AB67" s="7" t="inlineStr">
        <is>
          <t>Philippines</t>
        </is>
      </c>
      <c r="AC67" s="7" t="inlineStr">
        <is>
          <t>Distribution</t>
        </is>
      </c>
      <c r="AD67" s="7" t="n">
        <v>2021</v>
      </c>
      <c r="AE67" s="7" t="inlineStr">
        <is>
          <t>Bundle</t>
        </is>
      </c>
      <c r="AF67" s="7" t="n">
        <v>12</v>
      </c>
      <c r="AG67" s="7" t="inlineStr">
        <is>
          <t>Gen 2</t>
        </is>
      </c>
      <c r="AH67" s="8" t="n">
        <v>141.54</v>
      </c>
      <c r="AI67" s="9" t="n">
        <v>-22.73</v>
      </c>
      <c r="AJ67" s="7" t="inlineStr">
        <is>
          <t>End-of-life stock</t>
        </is>
      </c>
    </row>
    <row r="68">
      <c r="A68" s="2" t="inlineStr">
        <is>
          <t>SKU-006</t>
        </is>
      </c>
      <c r="B68" s="2" t="inlineStr">
        <is>
          <t>PTZ Cam 8MP 4K</t>
        </is>
      </c>
      <c r="C68" s="2" t="inlineStr">
        <is>
          <t>PTZ</t>
        </is>
      </c>
      <c r="D68" s="2" t="inlineStr">
        <is>
          <t>8MP (4K)</t>
        </is>
      </c>
      <c r="E68" s="2" t="inlineStr">
        <is>
          <t>IP</t>
        </is>
      </c>
      <c r="F68" s="2" t="inlineStr">
        <is>
          <t>Outdoor</t>
        </is>
      </c>
      <c r="G68" s="2" t="inlineStr">
        <is>
          <t>IP67</t>
        </is>
      </c>
      <c r="H68" s="3" t="n">
        <v>1854</v>
      </c>
      <c r="I68" s="4" t="n">
        <v>1579.61</v>
      </c>
      <c r="J68" s="5" t="n">
        <v>0.148</v>
      </c>
      <c r="K68" s="4" t="n">
        <v>274.39</v>
      </c>
      <c r="L68" s="2" t="inlineStr">
        <is>
          <t>Tender</t>
        </is>
      </c>
      <c r="M68" s="4" t="n">
        <v>1579.61</v>
      </c>
      <c r="N68" s="3" t="n">
        <v>764.35</v>
      </c>
      <c r="O68" s="3" t="n">
        <v>62.55</v>
      </c>
      <c r="P68" s="3" t="n">
        <v>41</v>
      </c>
      <c r="Q68" s="4" t="n">
        <v>867.9</v>
      </c>
      <c r="R68" s="4">
        <f>M68-Q68</f>
        <v/>
      </c>
      <c r="S68" s="5">
        <f>IF(M68=0,"-",(R68/M68))</f>
        <v/>
      </c>
      <c r="T68" s="6" t="n">
        <v>35</v>
      </c>
      <c r="U68" s="4">
        <f>M68*T68</f>
        <v/>
      </c>
      <c r="V68" s="4">
        <f>Q68*T68</f>
        <v/>
      </c>
      <c r="W68" s="4">
        <f>U68-V68</f>
        <v/>
      </c>
      <c r="X68" s="2" t="inlineStr">
        <is>
          <t>SafeCity Solutions</t>
        </is>
      </c>
      <c r="Y68" s="2" t="inlineStr">
        <is>
          <t>System Integrator</t>
        </is>
      </c>
      <c r="Z68" s="2" t="inlineStr">
        <is>
          <t>Warehouse Monitoring</t>
        </is>
      </c>
      <c r="AA68" s="2" t="inlineStr">
        <is>
          <t>Government</t>
        </is>
      </c>
      <c r="AB68" s="2" t="inlineStr">
        <is>
          <t>Malaysia</t>
        </is>
      </c>
      <c r="AC68" s="2" t="inlineStr">
        <is>
          <t>Direct</t>
        </is>
      </c>
      <c r="AD68" s="2" t="n">
        <v>2021</v>
      </c>
      <c r="AE68" s="2" t="inlineStr">
        <is>
          <t>Standalone</t>
        </is>
      </c>
      <c r="AF68" s="2" t="n">
        <v>12</v>
      </c>
      <c r="AG68" s="2" t="inlineStr">
        <is>
          <t>Gen 2</t>
        </is>
      </c>
      <c r="AH68" s="3" t="n">
        <v>1613.25</v>
      </c>
      <c r="AI68" s="4" t="n">
        <v>-33.64</v>
      </c>
      <c r="AJ68" s="2" t="inlineStr"/>
    </row>
    <row r="69">
      <c r="A69" s="7" t="inlineStr">
        <is>
          <t>SKU-006</t>
        </is>
      </c>
      <c r="B69" s="7" t="inlineStr">
        <is>
          <t>PTZ Cam 8MP 4K</t>
        </is>
      </c>
      <c r="C69" s="7" t="inlineStr">
        <is>
          <t>PTZ</t>
        </is>
      </c>
      <c r="D69" s="7" t="inlineStr">
        <is>
          <t>8MP (4K)</t>
        </is>
      </c>
      <c r="E69" s="7" t="inlineStr">
        <is>
          <t>IP</t>
        </is>
      </c>
      <c r="F69" s="7" t="inlineStr">
        <is>
          <t>Outdoor</t>
        </is>
      </c>
      <c r="G69" s="7" t="inlineStr">
        <is>
          <t>IP67</t>
        </is>
      </c>
      <c r="H69" s="8" t="n">
        <v>1854</v>
      </c>
      <c r="I69" s="9" t="n">
        <v>1539.19</v>
      </c>
      <c r="J69" s="10" t="n">
        <v>0.1698</v>
      </c>
      <c r="K69" s="9" t="n">
        <v>314.81</v>
      </c>
      <c r="L69" s="7" t="inlineStr">
        <is>
          <t>Loyalty</t>
        </is>
      </c>
      <c r="M69" s="9" t="n">
        <v>1539.19</v>
      </c>
      <c r="N69" s="8" t="n">
        <v>815.26</v>
      </c>
      <c r="O69" s="8" t="n">
        <v>67.26000000000001</v>
      </c>
      <c r="P69" s="8" t="n">
        <v>44.88</v>
      </c>
      <c r="Q69" s="9" t="n">
        <v>927.4</v>
      </c>
      <c r="R69" s="9">
        <f>M69-Q69</f>
        <v/>
      </c>
      <c r="S69" s="10">
        <f>IF(M69=0,"-",(R69/M69))</f>
        <v/>
      </c>
      <c r="T69" s="11" t="n">
        <v>54</v>
      </c>
      <c r="U69" s="9">
        <f>M69*T69</f>
        <v/>
      </c>
      <c r="V69" s="9">
        <f>Q69*T69</f>
        <v/>
      </c>
      <c r="W69" s="9">
        <f>U69-V69</f>
        <v/>
      </c>
      <c r="X69" s="7" t="inlineStr">
        <is>
          <t>SafeCity Solutions</t>
        </is>
      </c>
      <c r="Y69" s="7" t="inlineStr">
        <is>
          <t>System Integrator</t>
        </is>
      </c>
      <c r="Z69" s="7" t="inlineStr">
        <is>
          <t>Port Authority Monitoring</t>
        </is>
      </c>
      <c r="AA69" s="7" t="inlineStr">
        <is>
          <t>Healthcare</t>
        </is>
      </c>
      <c r="AB69" s="7" t="inlineStr">
        <is>
          <t>Singapore</t>
        </is>
      </c>
      <c r="AC69" s="7" t="inlineStr">
        <is>
          <t>Online</t>
        </is>
      </c>
      <c r="AD69" s="7" t="n">
        <v>2021</v>
      </c>
      <c r="AE69" s="7" t="inlineStr">
        <is>
          <t>Standalone</t>
        </is>
      </c>
      <c r="AF69" s="7" t="n">
        <v>36</v>
      </c>
      <c r="AG69" s="7" t="inlineStr">
        <is>
          <t>Gen 1</t>
        </is>
      </c>
      <c r="AH69" s="8" t="n">
        <v>1509.16</v>
      </c>
      <c r="AI69" s="9" t="n">
        <v>30.03</v>
      </c>
      <c r="AJ69" s="7" t="inlineStr">
        <is>
          <t>Standard deal</t>
        </is>
      </c>
    </row>
    <row r="70">
      <c r="A70" s="2" t="inlineStr">
        <is>
          <t>SKU-001</t>
        </is>
      </c>
      <c r="B70" s="2" t="inlineStr">
        <is>
          <t>Dome Cam 2MP Indoor</t>
        </is>
      </c>
      <c r="C70" s="2" t="inlineStr">
        <is>
          <t>Dome</t>
        </is>
      </c>
      <c r="D70" s="2" t="inlineStr">
        <is>
          <t>2MP</t>
        </is>
      </c>
      <c r="E70" s="2" t="inlineStr">
        <is>
          <t>IP</t>
        </is>
      </c>
      <c r="F70" s="2" t="inlineStr">
        <is>
          <t>Indoor</t>
        </is>
      </c>
      <c r="G70" s="2" t="inlineStr">
        <is>
          <t>IP65</t>
        </is>
      </c>
      <c r="H70" s="3" t="n">
        <v>185.4</v>
      </c>
      <c r="I70" s="4" t="n">
        <v>141.11</v>
      </c>
      <c r="J70" s="5" t="n">
        <v>0.2389</v>
      </c>
      <c r="K70" s="4" t="n">
        <v>44.29</v>
      </c>
      <c r="L70" s="2" t="inlineStr">
        <is>
          <t>Loyalty</t>
        </is>
      </c>
      <c r="M70" s="4" t="n">
        <v>141.11</v>
      </c>
      <c r="N70" s="3" t="n">
        <v>81.34</v>
      </c>
      <c r="O70" s="3" t="n">
        <v>8.029999999999999</v>
      </c>
      <c r="P70" s="3" t="n">
        <v>3.82</v>
      </c>
      <c r="Q70" s="4" t="n">
        <v>93.19</v>
      </c>
      <c r="R70" s="4">
        <f>M70-Q70</f>
        <v/>
      </c>
      <c r="S70" s="5">
        <f>IF(M70=0,"-",(R70/M70))</f>
        <v/>
      </c>
      <c r="T70" s="6" t="n">
        <v>77</v>
      </c>
      <c r="U70" s="4">
        <f>M70*T70</f>
        <v/>
      </c>
      <c r="V70" s="4">
        <f>Q70*T70</f>
        <v/>
      </c>
      <c r="W70" s="4">
        <f>U70-V70</f>
        <v/>
      </c>
      <c r="X70" s="2" t="inlineStr">
        <is>
          <t>TechDist Asia</t>
        </is>
      </c>
      <c r="Y70" s="2" t="inlineStr">
        <is>
          <t>Distributor</t>
        </is>
      </c>
      <c r="Z70" s="2" t="inlineStr">
        <is>
          <t>Warehouse Monitoring</t>
        </is>
      </c>
      <c r="AA70" s="2" t="inlineStr">
        <is>
          <t>Government</t>
        </is>
      </c>
      <c r="AB70" s="2" t="inlineStr">
        <is>
          <t>Singapore</t>
        </is>
      </c>
      <c r="AC70" s="2" t="inlineStr">
        <is>
          <t>Direct</t>
        </is>
      </c>
      <c r="AD70" s="2" t="n">
        <v>2021</v>
      </c>
      <c r="AE70" s="2" t="inlineStr">
        <is>
          <t>Bundle</t>
        </is>
      </c>
      <c r="AF70" s="2" t="n">
        <v>24</v>
      </c>
      <c r="AG70" s="2" t="inlineStr">
        <is>
          <t>Gen 2</t>
        </is>
      </c>
      <c r="AH70" s="3" t="n">
        <v>164.83</v>
      </c>
      <c r="AI70" s="4" t="n">
        <v>-23.72</v>
      </c>
      <c r="AJ70" s="2" t="inlineStr">
        <is>
          <t>Matched quote</t>
        </is>
      </c>
    </row>
    <row r="71">
      <c r="A71" s="7" t="inlineStr">
        <is>
          <t>SKU-007</t>
        </is>
      </c>
      <c r="B71" s="7" t="inlineStr">
        <is>
          <t>Fisheye Cam 4MP</t>
        </is>
      </c>
      <c r="C71" s="7" t="inlineStr">
        <is>
          <t>Fisheye</t>
        </is>
      </c>
      <c r="D71" s="7" t="inlineStr">
        <is>
          <t>4MP</t>
        </is>
      </c>
      <c r="E71" s="7" t="inlineStr">
        <is>
          <t>IP</t>
        </is>
      </c>
      <c r="F71" s="7" t="inlineStr">
        <is>
          <t>Indoor</t>
        </is>
      </c>
      <c r="G71" s="7" t="inlineStr">
        <is>
          <t>IP65</t>
        </is>
      </c>
      <c r="H71" s="8" t="n">
        <v>638.6</v>
      </c>
      <c r="I71" s="9" t="n">
        <v>586.3</v>
      </c>
      <c r="J71" s="10" t="n">
        <v>0.0819</v>
      </c>
      <c r="K71" s="9" t="n">
        <v>52.3</v>
      </c>
      <c r="L71" s="7" t="inlineStr">
        <is>
          <t>Project Bid</t>
        </is>
      </c>
      <c r="M71" s="9" t="n">
        <v>586.3</v>
      </c>
      <c r="N71" s="8" t="n">
        <v>276.56</v>
      </c>
      <c r="O71" s="8" t="n">
        <v>20.85</v>
      </c>
      <c r="P71" s="8" t="n">
        <v>19.1</v>
      </c>
      <c r="Q71" s="9" t="n">
        <v>316.51</v>
      </c>
      <c r="R71" s="9">
        <f>M71-Q71</f>
        <v/>
      </c>
      <c r="S71" s="10">
        <f>IF(M71=0,"-",(R71/M71))</f>
        <v/>
      </c>
      <c r="T71" s="11" t="n">
        <v>49</v>
      </c>
      <c r="U71" s="9">
        <f>M71*T71</f>
        <v/>
      </c>
      <c r="V71" s="9">
        <f>Q71*T71</f>
        <v/>
      </c>
      <c r="W71" s="9">
        <f>U71-V71</f>
        <v/>
      </c>
      <c r="X71" s="7" t="inlineStr">
        <is>
          <t>SafeCity Solutions</t>
        </is>
      </c>
      <c r="Y71" s="7" t="inlineStr">
        <is>
          <t>System Integrator</t>
        </is>
      </c>
      <c r="Z71" s="7" t="inlineStr">
        <is>
          <t>Warehouse Monitoring</t>
        </is>
      </c>
      <c r="AA71" s="7" t="inlineStr">
        <is>
          <t>Education</t>
        </is>
      </c>
      <c r="AB71" s="7" t="inlineStr">
        <is>
          <t>Thailand</t>
        </is>
      </c>
      <c r="AC71" s="7" t="inlineStr">
        <is>
          <t>Distribution</t>
        </is>
      </c>
      <c r="AD71" s="7" t="n">
        <v>2021</v>
      </c>
      <c r="AE71" s="7" t="inlineStr">
        <is>
          <t>Standalone</t>
        </is>
      </c>
      <c r="AF71" s="7" t="n">
        <v>12</v>
      </c>
      <c r="AG71" s="7" t="inlineStr">
        <is>
          <t>Gen 2</t>
        </is>
      </c>
      <c r="AH71" s="8" t="n">
        <v>552.6</v>
      </c>
      <c r="AI71" s="9" t="n">
        <v>33.7</v>
      </c>
      <c r="AJ71" s="7" t="inlineStr"/>
    </row>
    <row r="72">
      <c r="A72" s="2" t="inlineStr">
        <is>
          <t>SKU-001</t>
        </is>
      </c>
      <c r="B72" s="2" t="inlineStr">
        <is>
          <t>Dome Cam 2MP Indoor</t>
        </is>
      </c>
      <c r="C72" s="2" t="inlineStr">
        <is>
          <t>Dome</t>
        </is>
      </c>
      <c r="D72" s="2" t="inlineStr">
        <is>
          <t>2MP</t>
        </is>
      </c>
      <c r="E72" s="2" t="inlineStr">
        <is>
          <t>IP</t>
        </is>
      </c>
      <c r="F72" s="2" t="inlineStr">
        <is>
          <t>Indoor</t>
        </is>
      </c>
      <c r="G72" s="2" t="inlineStr">
        <is>
          <t>IP65</t>
        </is>
      </c>
      <c r="H72" s="3" t="n">
        <v>190.8</v>
      </c>
      <c r="I72" s="4" t="n">
        <v>171.07</v>
      </c>
      <c r="J72" s="5" t="n">
        <v>0.1034</v>
      </c>
      <c r="K72" s="4" t="n">
        <v>19.73</v>
      </c>
      <c r="L72" s="2" t="inlineStr">
        <is>
          <t>Project Bid</t>
        </is>
      </c>
      <c r="M72" s="4" t="n">
        <v>171.07</v>
      </c>
      <c r="N72" s="3" t="n">
        <v>80.98999999999999</v>
      </c>
      <c r="O72" s="3" t="n">
        <v>9.66</v>
      </c>
      <c r="P72" s="3" t="n">
        <v>4.81</v>
      </c>
      <c r="Q72" s="4" t="n">
        <v>95.45999999999999</v>
      </c>
      <c r="R72" s="4">
        <f>M72-Q72</f>
        <v/>
      </c>
      <c r="S72" s="5">
        <f>IF(M72=0,"-",(R72/M72))</f>
        <v/>
      </c>
      <c r="T72" s="6" t="n">
        <v>28</v>
      </c>
      <c r="U72" s="4">
        <f>M72*T72</f>
        <v/>
      </c>
      <c r="V72" s="4">
        <f>Q72*T72</f>
        <v/>
      </c>
      <c r="W72" s="4">
        <f>U72-V72</f>
        <v/>
      </c>
      <c r="X72" s="2" t="inlineStr">
        <is>
          <t>SkyNet Resellers</t>
        </is>
      </c>
      <c r="Y72" s="2" t="inlineStr">
        <is>
          <t>Reseller</t>
        </is>
      </c>
      <c r="Z72" s="2" t="inlineStr">
        <is>
          <t>School Campus Safety</t>
        </is>
      </c>
      <c r="AA72" s="2" t="inlineStr">
        <is>
          <t>Transport</t>
        </is>
      </c>
      <c r="AB72" s="2" t="inlineStr">
        <is>
          <t>Singapore</t>
        </is>
      </c>
      <c r="AC72" s="2" t="inlineStr">
        <is>
          <t>Distribution</t>
        </is>
      </c>
      <c r="AD72" s="2" t="n">
        <v>2022</v>
      </c>
      <c r="AE72" s="2" t="inlineStr">
        <is>
          <t>Bundle</t>
        </is>
      </c>
      <c r="AF72" s="2" t="n">
        <v>36</v>
      </c>
      <c r="AG72" s="2" t="inlineStr">
        <is>
          <t>Gen 1</t>
        </is>
      </c>
      <c r="AH72" s="3" t="n">
        <v>154.21</v>
      </c>
      <c r="AI72" s="4" t="n">
        <v>16.86</v>
      </c>
      <c r="AJ72" s="2" t="inlineStr">
        <is>
          <t>Rush order</t>
        </is>
      </c>
    </row>
    <row r="73">
      <c r="A73" s="7" t="inlineStr">
        <is>
          <t>SKU-004</t>
        </is>
      </c>
      <c r="B73" s="7" t="inlineStr">
        <is>
          <t>Bullet Cam 4MP AI</t>
        </is>
      </c>
      <c r="C73" s="7" t="inlineStr">
        <is>
          <t>Bullet</t>
        </is>
      </c>
      <c r="D73" s="7" t="inlineStr">
        <is>
          <t>4MP</t>
        </is>
      </c>
      <c r="E73" s="7" t="inlineStr">
        <is>
          <t>AI-enabled</t>
        </is>
      </c>
      <c r="F73" s="7" t="inlineStr">
        <is>
          <t>Outdoor</t>
        </is>
      </c>
      <c r="G73" s="7" t="inlineStr">
        <is>
          <t>IP67</t>
        </is>
      </c>
      <c r="H73" s="8" t="n">
        <v>508.8</v>
      </c>
      <c r="I73" s="9" t="n">
        <v>433.09</v>
      </c>
      <c r="J73" s="10" t="n">
        <v>0.1488</v>
      </c>
      <c r="K73" s="9" t="n">
        <v>75.70999999999999</v>
      </c>
      <c r="L73" s="7" t="inlineStr">
        <is>
          <t>Volume</t>
        </is>
      </c>
      <c r="M73" s="9" t="n">
        <v>433.09</v>
      </c>
      <c r="N73" s="8" t="n">
        <v>233.45</v>
      </c>
      <c r="O73" s="8" t="n">
        <v>24.72</v>
      </c>
      <c r="P73" s="8" t="n">
        <v>5.95</v>
      </c>
      <c r="Q73" s="9" t="n">
        <v>264.12</v>
      </c>
      <c r="R73" s="9">
        <f>M73-Q73</f>
        <v/>
      </c>
      <c r="S73" s="10">
        <f>IF(M73=0,"-",(R73/M73))</f>
        <v/>
      </c>
      <c r="T73" s="11" t="n">
        <v>5</v>
      </c>
      <c r="U73" s="9">
        <f>M73*T73</f>
        <v/>
      </c>
      <c r="V73" s="9">
        <f>Q73*T73</f>
        <v/>
      </c>
      <c r="W73" s="9">
        <f>U73-V73</f>
        <v/>
      </c>
      <c r="X73" s="7" t="inlineStr">
        <is>
          <t>SmartBuild Integrators</t>
        </is>
      </c>
      <c r="Y73" s="7" t="inlineStr">
        <is>
          <t>System Integrator</t>
        </is>
      </c>
      <c r="Z73" s="7" t="inlineStr">
        <is>
          <t>Port Authority Monitoring</t>
        </is>
      </c>
      <c r="AA73" s="7" t="inlineStr">
        <is>
          <t>Industrial</t>
        </is>
      </c>
      <c r="AB73" s="7" t="inlineStr">
        <is>
          <t>Malaysia</t>
        </is>
      </c>
      <c r="AC73" s="7" t="inlineStr">
        <is>
          <t>Distribution</t>
        </is>
      </c>
      <c r="AD73" s="7" t="n">
        <v>2022</v>
      </c>
      <c r="AE73" s="7" t="inlineStr">
        <is>
          <t>Bundle</t>
        </is>
      </c>
      <c r="AF73" s="7" t="n">
        <v>24</v>
      </c>
      <c r="AG73" s="7" t="inlineStr">
        <is>
          <t>Gen 1</t>
        </is>
      </c>
      <c r="AH73" s="8" t="n">
        <v>415.09</v>
      </c>
      <c r="AI73" s="9" t="n">
        <v>18</v>
      </c>
      <c r="AJ73" s="7" t="inlineStr">
        <is>
          <t>End-of-life stock</t>
        </is>
      </c>
    </row>
    <row r="74">
      <c r="A74" s="2" t="inlineStr">
        <is>
          <t>SKU-004</t>
        </is>
      </c>
      <c r="B74" s="2" t="inlineStr">
        <is>
          <t>Bullet Cam 4MP AI</t>
        </is>
      </c>
      <c r="C74" s="2" t="inlineStr">
        <is>
          <t>Bullet</t>
        </is>
      </c>
      <c r="D74" s="2" t="inlineStr">
        <is>
          <t>4MP</t>
        </is>
      </c>
      <c r="E74" s="2" t="inlineStr">
        <is>
          <t>AI-enabled</t>
        </is>
      </c>
      <c r="F74" s="2" t="inlineStr">
        <is>
          <t>Outdoor</t>
        </is>
      </c>
      <c r="G74" s="2" t="inlineStr">
        <is>
          <t>IP67</t>
        </is>
      </c>
      <c r="H74" s="3" t="n">
        <v>508.8</v>
      </c>
      <c r="I74" s="4" t="n">
        <v>410.09</v>
      </c>
      <c r="J74" s="5" t="n">
        <v>0.194</v>
      </c>
      <c r="K74" s="4" t="n">
        <v>98.70999999999999</v>
      </c>
      <c r="L74" s="2" t="inlineStr">
        <is>
          <t>Project Bid</t>
        </is>
      </c>
      <c r="M74" s="4" t="n">
        <v>410.09</v>
      </c>
      <c r="N74" s="3" t="n">
        <v>223.18</v>
      </c>
      <c r="O74" s="3" t="n">
        <v>18.6</v>
      </c>
      <c r="P74" s="3" t="n">
        <v>13.15</v>
      </c>
      <c r="Q74" s="4" t="n">
        <v>254.93</v>
      </c>
      <c r="R74" s="4">
        <f>M74-Q74</f>
        <v/>
      </c>
      <c r="S74" s="5">
        <f>IF(M74=0,"-",(R74/M74))</f>
        <v/>
      </c>
      <c r="T74" s="6" t="n">
        <v>67</v>
      </c>
      <c r="U74" s="4">
        <f>M74*T74</f>
        <v/>
      </c>
      <c r="V74" s="4">
        <f>Q74*T74</f>
        <v/>
      </c>
      <c r="W74" s="4">
        <f>U74-V74</f>
        <v/>
      </c>
      <c r="X74" s="2" t="inlineStr">
        <is>
          <t>SmartBuild Integrators</t>
        </is>
      </c>
      <c r="Y74" s="2" t="inlineStr">
        <is>
          <t>System Integrator</t>
        </is>
      </c>
      <c r="Z74" s="2" t="inlineStr">
        <is>
          <t>Hospital Perimeter Security</t>
        </is>
      </c>
      <c r="AA74" s="2" t="inlineStr">
        <is>
          <t>Government</t>
        </is>
      </c>
      <c r="AB74" s="2" t="inlineStr">
        <is>
          <t>Malaysia</t>
        </is>
      </c>
      <c r="AC74" s="2" t="inlineStr">
        <is>
          <t>Distribution</t>
        </is>
      </c>
      <c r="AD74" s="2" t="n">
        <v>2022</v>
      </c>
      <c r="AE74" s="2" t="inlineStr">
        <is>
          <t>Bundle</t>
        </is>
      </c>
      <c r="AF74" s="2" t="n">
        <v>36</v>
      </c>
      <c r="AG74" s="2" t="inlineStr">
        <is>
          <t>Gen 2</t>
        </is>
      </c>
      <c r="AH74" s="3" t="n">
        <v>443.29</v>
      </c>
      <c r="AI74" s="4" t="n">
        <v>-33.2</v>
      </c>
      <c r="AJ74" s="2" t="inlineStr">
        <is>
          <t>Promotional period</t>
        </is>
      </c>
    </row>
    <row r="75">
      <c r="A75" s="7" t="inlineStr">
        <is>
          <t>SKU-009</t>
        </is>
      </c>
      <c r="B75" s="7" t="inlineStr">
        <is>
          <t>Turret Cam 4MP</t>
        </is>
      </c>
      <c r="C75" s="7" t="inlineStr">
        <is>
          <t>Turret</t>
        </is>
      </c>
      <c r="D75" s="7" t="inlineStr">
        <is>
          <t>4MP</t>
        </is>
      </c>
      <c r="E75" s="7" t="inlineStr">
        <is>
          <t>IP</t>
        </is>
      </c>
      <c r="F75" s="7" t="inlineStr">
        <is>
          <t>Indoor</t>
        </is>
      </c>
      <c r="G75" s="7" t="inlineStr">
        <is>
          <t>IP65</t>
        </is>
      </c>
      <c r="H75" s="8" t="n">
        <v>307.4</v>
      </c>
      <c r="I75" s="9" t="n">
        <v>265.78</v>
      </c>
      <c r="J75" s="10" t="n">
        <v>0.1354</v>
      </c>
      <c r="K75" s="9" t="n">
        <v>41.62</v>
      </c>
      <c r="L75" s="7" t="inlineStr">
        <is>
          <t>Loyalty</t>
        </is>
      </c>
      <c r="M75" s="9" t="n">
        <v>265.78</v>
      </c>
      <c r="N75" s="8" t="n">
        <v>126.68</v>
      </c>
      <c r="O75" s="8" t="n">
        <v>9.9</v>
      </c>
      <c r="P75" s="8" t="n">
        <v>6.88</v>
      </c>
      <c r="Q75" s="9" t="n">
        <v>143.46</v>
      </c>
      <c r="R75" s="9">
        <f>M75-Q75</f>
        <v/>
      </c>
      <c r="S75" s="10">
        <f>IF(M75=0,"-",(R75/M75))</f>
        <v/>
      </c>
      <c r="T75" s="11" t="n">
        <v>64</v>
      </c>
      <c r="U75" s="9">
        <f>M75*T75</f>
        <v/>
      </c>
      <c r="V75" s="9">
        <f>Q75*T75</f>
        <v/>
      </c>
      <c r="W75" s="9">
        <f>U75-V75</f>
        <v/>
      </c>
      <c r="X75" s="7" t="inlineStr">
        <is>
          <t>Changi Airport Group</t>
        </is>
      </c>
      <c r="Y75" s="7" t="inlineStr">
        <is>
          <t>End User</t>
        </is>
      </c>
      <c r="Z75" s="7" t="inlineStr">
        <is>
          <t>Public Housing CCTV Program</t>
        </is>
      </c>
      <c r="AA75" s="7" t="inlineStr">
        <is>
          <t>Government</t>
        </is>
      </c>
      <c r="AB75" s="7" t="inlineStr">
        <is>
          <t>Philippines</t>
        </is>
      </c>
      <c r="AC75" s="7" t="inlineStr">
        <is>
          <t>Online</t>
        </is>
      </c>
      <c r="AD75" s="7" t="n">
        <v>2022</v>
      </c>
      <c r="AE75" s="7" t="inlineStr">
        <is>
          <t>Standalone</t>
        </is>
      </c>
      <c r="AF75" s="7" t="n">
        <v>24</v>
      </c>
      <c r="AG75" s="7" t="inlineStr">
        <is>
          <t>Gen 1</t>
        </is>
      </c>
      <c r="AH75" s="8" t="n">
        <v>272.2</v>
      </c>
      <c r="AI75" s="9" t="n">
        <v>-6.42</v>
      </c>
      <c r="AJ75" s="7" t="inlineStr">
        <is>
          <t>Promotional period</t>
        </is>
      </c>
    </row>
    <row r="76">
      <c r="A76" s="2" t="inlineStr">
        <is>
          <t>SKU-002</t>
        </is>
      </c>
      <c r="B76" s="2" t="inlineStr">
        <is>
          <t>Dome Cam 4MP IR</t>
        </is>
      </c>
      <c r="C76" s="2" t="inlineStr">
        <is>
          <t>Dome</t>
        </is>
      </c>
      <c r="D76" s="2" t="inlineStr">
        <is>
          <t>4MP</t>
        </is>
      </c>
      <c r="E76" s="2" t="inlineStr">
        <is>
          <t>IP</t>
        </is>
      </c>
      <c r="F76" s="2" t="inlineStr">
        <is>
          <t>Outdoor</t>
        </is>
      </c>
      <c r="G76" s="2" t="inlineStr">
        <is>
          <t>IP66</t>
        </is>
      </c>
      <c r="H76" s="3" t="n">
        <v>339.2</v>
      </c>
      <c r="I76" s="4" t="n">
        <v>284.45</v>
      </c>
      <c r="J76" s="5" t="n">
        <v>0.1614</v>
      </c>
      <c r="K76" s="4" t="n">
        <v>54.75</v>
      </c>
      <c r="L76" s="2" t="inlineStr">
        <is>
          <t>Volume</t>
        </is>
      </c>
      <c r="M76" s="4" t="n">
        <v>284.45</v>
      </c>
      <c r="N76" s="3" t="n">
        <v>146.63</v>
      </c>
      <c r="O76" s="3" t="n">
        <v>10.36</v>
      </c>
      <c r="P76" s="3" t="n">
        <v>6.64</v>
      </c>
      <c r="Q76" s="4" t="n">
        <v>163.63</v>
      </c>
      <c r="R76" s="4">
        <f>M76-Q76</f>
        <v/>
      </c>
      <c r="S76" s="5">
        <f>IF(M76=0,"-",(R76/M76))</f>
        <v/>
      </c>
      <c r="T76" s="6" t="n">
        <v>57</v>
      </c>
      <c r="U76" s="4">
        <f>M76*T76</f>
        <v/>
      </c>
      <c r="V76" s="4">
        <f>Q76*T76</f>
        <v/>
      </c>
      <c r="W76" s="4">
        <f>U76-V76</f>
        <v/>
      </c>
      <c r="X76" s="2" t="inlineStr">
        <is>
          <t>SafeCity Solutions</t>
        </is>
      </c>
      <c r="Y76" s="2" t="inlineStr">
        <is>
          <t>System Integrator</t>
        </is>
      </c>
      <c r="Z76" s="2" t="inlineStr">
        <is>
          <t>Hospital Perimeter Security</t>
        </is>
      </c>
      <c r="AA76" s="2" t="inlineStr">
        <is>
          <t>Education</t>
        </is>
      </c>
      <c r="AB76" s="2" t="inlineStr">
        <is>
          <t>Malaysia</t>
        </is>
      </c>
      <c r="AC76" s="2" t="inlineStr">
        <is>
          <t>Direct</t>
        </is>
      </c>
      <c r="AD76" s="2" t="n">
        <v>2022</v>
      </c>
      <c r="AE76" s="2" t="inlineStr">
        <is>
          <t>Standalone</t>
        </is>
      </c>
      <c r="AF76" s="2" t="n">
        <v>36</v>
      </c>
      <c r="AG76" s="2" t="inlineStr">
        <is>
          <t>Gen 2</t>
        </is>
      </c>
      <c r="AH76" s="3" t="n">
        <v>275.4</v>
      </c>
      <c r="AI76" s="4" t="n">
        <v>9.050000000000001</v>
      </c>
      <c r="AJ76" s="2" t="inlineStr"/>
    </row>
    <row r="77">
      <c r="A77" s="7" t="inlineStr">
        <is>
          <t>SKU-002</t>
        </is>
      </c>
      <c r="B77" s="7" t="inlineStr">
        <is>
          <t>Dome Cam 4MP IR</t>
        </is>
      </c>
      <c r="C77" s="7" t="inlineStr">
        <is>
          <t>Dome</t>
        </is>
      </c>
      <c r="D77" s="7" t="inlineStr">
        <is>
          <t>4MP</t>
        </is>
      </c>
      <c r="E77" s="7" t="inlineStr">
        <is>
          <t>IP</t>
        </is>
      </c>
      <c r="F77" s="7" t="inlineStr">
        <is>
          <t>Outdoor</t>
        </is>
      </c>
      <c r="G77" s="7" t="inlineStr">
        <is>
          <t>IP66</t>
        </is>
      </c>
      <c r="H77" s="8" t="n">
        <v>339.2</v>
      </c>
      <c r="I77" s="9" t="n">
        <v>321.93</v>
      </c>
      <c r="J77" s="10" t="n">
        <v>0.0509</v>
      </c>
      <c r="K77" s="9" t="n">
        <v>17.27</v>
      </c>
      <c r="L77" s="7" t="inlineStr">
        <is>
          <t>Tender</t>
        </is>
      </c>
      <c r="M77" s="9" t="n">
        <v>321.93</v>
      </c>
      <c r="N77" s="8" t="n">
        <v>147.15</v>
      </c>
      <c r="O77" s="8" t="n">
        <v>11.75</v>
      </c>
      <c r="P77" s="8" t="n">
        <v>7.84</v>
      </c>
      <c r="Q77" s="9" t="n">
        <v>166.74</v>
      </c>
      <c r="R77" s="9">
        <f>M77-Q77</f>
        <v/>
      </c>
      <c r="S77" s="10">
        <f>IF(M77=0,"-",(R77/M77))</f>
        <v/>
      </c>
      <c r="T77" s="11" t="n">
        <v>49</v>
      </c>
      <c r="U77" s="9">
        <f>M77*T77</f>
        <v/>
      </c>
      <c r="V77" s="9">
        <f>Q77*T77</f>
        <v/>
      </c>
      <c r="W77" s="9">
        <f>U77-V77</f>
        <v/>
      </c>
      <c r="X77" s="7" t="inlineStr">
        <is>
          <t>Harbour Trust</t>
        </is>
      </c>
      <c r="Y77" s="7" t="inlineStr">
        <is>
          <t>End User</t>
        </is>
      </c>
      <c r="Z77" s="7" t="inlineStr">
        <is>
          <t>Port Authority Monitoring</t>
        </is>
      </c>
      <c r="AA77" s="7" t="inlineStr">
        <is>
          <t>Healthcare</t>
        </is>
      </c>
      <c r="AB77" s="7" t="inlineStr">
        <is>
          <t>Thailand</t>
        </is>
      </c>
      <c r="AC77" s="7" t="inlineStr">
        <is>
          <t>Direct</t>
        </is>
      </c>
      <c r="AD77" s="7" t="n">
        <v>2022</v>
      </c>
      <c r="AE77" s="7" t="inlineStr">
        <is>
          <t>Standalone</t>
        </is>
      </c>
      <c r="AF77" s="7" t="n">
        <v>24</v>
      </c>
      <c r="AG77" s="7" t="inlineStr">
        <is>
          <t>Gen 2</t>
        </is>
      </c>
      <c r="AH77" s="8" t="n">
        <v>310.18</v>
      </c>
      <c r="AI77" s="9" t="n">
        <v>11.75</v>
      </c>
      <c r="AJ77" s="7" t="inlineStr"/>
    </row>
    <row r="78">
      <c r="A78" s="2" t="inlineStr">
        <is>
          <t>SKU-008</t>
        </is>
      </c>
      <c r="B78" s="2" t="inlineStr">
        <is>
          <t>Thermal Cam</t>
        </is>
      </c>
      <c r="C78" s="2" t="inlineStr">
        <is>
          <t>Bullet</t>
        </is>
      </c>
      <c r="D78" s="2" t="inlineStr">
        <is>
          <t>2MP</t>
        </is>
      </c>
      <c r="E78" s="2" t="inlineStr">
        <is>
          <t>Thermal</t>
        </is>
      </c>
      <c r="F78" s="2" t="inlineStr">
        <is>
          <t>Outdoor</t>
        </is>
      </c>
      <c r="G78" s="2" t="inlineStr">
        <is>
          <t>IP67</t>
        </is>
      </c>
      <c r="H78" s="3" t="n">
        <v>2544</v>
      </c>
      <c r="I78" s="4" t="n">
        <v>2156.29</v>
      </c>
      <c r="J78" s="5" t="n">
        <v>0.1524</v>
      </c>
      <c r="K78" s="4" t="n">
        <v>387.71</v>
      </c>
      <c r="L78" s="2" t="inlineStr">
        <is>
          <t>Tender</t>
        </is>
      </c>
      <c r="M78" s="4" t="n">
        <v>2156.29</v>
      </c>
      <c r="N78" s="3" t="n">
        <v>1147.7</v>
      </c>
      <c r="O78" s="3" t="n">
        <v>104.5</v>
      </c>
      <c r="P78" s="3" t="n">
        <v>55.18</v>
      </c>
      <c r="Q78" s="4" t="n">
        <v>1307.38</v>
      </c>
      <c r="R78" s="4">
        <f>M78-Q78</f>
        <v/>
      </c>
      <c r="S78" s="5">
        <f>IF(M78=0,"-",(R78/M78))</f>
        <v/>
      </c>
      <c r="T78" s="6" t="n">
        <v>44</v>
      </c>
      <c r="U78" s="4">
        <f>M78*T78</f>
        <v/>
      </c>
      <c r="V78" s="4">
        <f>Q78*T78</f>
        <v/>
      </c>
      <c r="W78" s="4">
        <f>U78-V78</f>
        <v/>
      </c>
      <c r="X78" s="2" t="inlineStr">
        <is>
          <t>SafeCity Solutions</t>
        </is>
      </c>
      <c r="Y78" s="2" t="inlineStr">
        <is>
          <t>System Integrator</t>
        </is>
      </c>
      <c r="Z78" s="2" t="inlineStr">
        <is>
          <t>City Surveillance Phase 1</t>
        </is>
      </c>
      <c r="AA78" s="2" t="inlineStr">
        <is>
          <t>Industrial</t>
        </is>
      </c>
      <c r="AB78" s="2" t="inlineStr">
        <is>
          <t>Singapore</t>
        </is>
      </c>
      <c r="AC78" s="2" t="inlineStr">
        <is>
          <t>Direct</t>
        </is>
      </c>
      <c r="AD78" s="2" t="n">
        <v>2022</v>
      </c>
      <c r="AE78" s="2" t="inlineStr">
        <is>
          <t>Bundle</t>
        </is>
      </c>
      <c r="AF78" s="2" t="n">
        <v>36</v>
      </c>
      <c r="AG78" s="2" t="inlineStr">
        <is>
          <t>Gen 2</t>
        </is>
      </c>
      <c r="AH78" s="3" t="n">
        <v>2239.74</v>
      </c>
      <c r="AI78" s="4" t="n">
        <v>-83.45</v>
      </c>
      <c r="AJ78" s="2" t="inlineStr">
        <is>
          <t>Promotional period</t>
        </is>
      </c>
    </row>
    <row r="79">
      <c r="A79" s="7" t="inlineStr">
        <is>
          <t>SKU-006</t>
        </is>
      </c>
      <c r="B79" s="7" t="inlineStr">
        <is>
          <t>PTZ Cam 8MP 4K</t>
        </is>
      </c>
      <c r="C79" s="7" t="inlineStr">
        <is>
          <t>PTZ</t>
        </is>
      </c>
      <c r="D79" s="7" t="inlineStr">
        <is>
          <t>8MP (4K)</t>
        </is>
      </c>
      <c r="E79" s="7" t="inlineStr">
        <is>
          <t>IP</t>
        </is>
      </c>
      <c r="F79" s="7" t="inlineStr">
        <is>
          <t>Outdoor</t>
        </is>
      </c>
      <c r="G79" s="7" t="inlineStr">
        <is>
          <t>IP67</t>
        </is>
      </c>
      <c r="H79" s="8" t="n">
        <v>1908</v>
      </c>
      <c r="I79" s="9" t="n">
        <v>1648.32</v>
      </c>
      <c r="J79" s="10" t="n">
        <v>0.1361</v>
      </c>
      <c r="K79" s="9" t="n">
        <v>259.68</v>
      </c>
      <c r="L79" s="7" t="inlineStr">
        <is>
          <t>Distributor</t>
        </is>
      </c>
      <c r="M79" s="9" t="n">
        <v>1648.32</v>
      </c>
      <c r="N79" s="8" t="n">
        <v>798.25</v>
      </c>
      <c r="O79" s="8" t="n">
        <v>87.26000000000001</v>
      </c>
      <c r="P79" s="8" t="n">
        <v>29.94</v>
      </c>
      <c r="Q79" s="9" t="n">
        <v>915.45</v>
      </c>
      <c r="R79" s="9">
        <f>M79-Q79</f>
        <v/>
      </c>
      <c r="S79" s="10">
        <f>IF(M79=0,"-",(R79/M79))</f>
        <v/>
      </c>
      <c r="T79" s="11" t="n">
        <v>73</v>
      </c>
      <c r="U79" s="9">
        <f>M79*T79</f>
        <v/>
      </c>
      <c r="V79" s="9">
        <f>Q79*T79</f>
        <v/>
      </c>
      <c r="W79" s="9">
        <f>U79-V79</f>
        <v/>
      </c>
      <c r="X79" s="7" t="inlineStr">
        <is>
          <t>SkyNet Resellers</t>
        </is>
      </c>
      <c r="Y79" s="7" t="inlineStr">
        <is>
          <t>Reseller</t>
        </is>
      </c>
      <c r="Z79" s="7" t="inlineStr">
        <is>
          <t>Airport Terminal Upgrade</t>
        </is>
      </c>
      <c r="AA79" s="7" t="inlineStr">
        <is>
          <t>Retail</t>
        </is>
      </c>
      <c r="AB79" s="7" t="inlineStr">
        <is>
          <t>Vietnam</t>
        </is>
      </c>
      <c r="AC79" s="7" t="inlineStr">
        <is>
          <t>Distribution</t>
        </is>
      </c>
      <c r="AD79" s="7" t="n">
        <v>2022</v>
      </c>
      <c r="AE79" s="7" t="inlineStr">
        <is>
          <t>Bundle</t>
        </is>
      </c>
      <c r="AF79" s="7" t="n">
        <v>36</v>
      </c>
      <c r="AG79" s="7" t="inlineStr">
        <is>
          <t>Gen 1</t>
        </is>
      </c>
      <c r="AH79" s="8" t="n">
        <v>1610.56</v>
      </c>
      <c r="AI79" s="9" t="n">
        <v>37.76</v>
      </c>
      <c r="AJ79" s="7" t="inlineStr">
        <is>
          <t>End-of-life stock</t>
        </is>
      </c>
    </row>
    <row r="80">
      <c r="A80" s="2" t="inlineStr">
        <is>
          <t>SKU-010</t>
        </is>
      </c>
      <c r="B80" s="2" t="inlineStr">
        <is>
          <t>Turret Cam 8MP 4K AI</t>
        </is>
      </c>
      <c r="C80" s="2" t="inlineStr">
        <is>
          <t>Turret</t>
        </is>
      </c>
      <c r="D80" s="2" t="inlineStr">
        <is>
          <t>8MP (4K)</t>
        </is>
      </c>
      <c r="E80" s="2" t="inlineStr">
        <is>
          <t>AI-enabled</t>
        </is>
      </c>
      <c r="F80" s="2" t="inlineStr">
        <is>
          <t>Outdoor</t>
        </is>
      </c>
      <c r="G80" s="2" t="inlineStr">
        <is>
          <t>IP66</t>
        </is>
      </c>
      <c r="H80" s="3" t="n">
        <v>826.8</v>
      </c>
      <c r="I80" s="4" t="n">
        <v>752.3099999999999</v>
      </c>
      <c r="J80" s="5" t="n">
        <v>0.0901</v>
      </c>
      <c r="K80" s="4" t="n">
        <v>74.48999999999999</v>
      </c>
      <c r="L80" s="2" t="inlineStr">
        <is>
          <t>Loyalty</t>
        </is>
      </c>
      <c r="M80" s="4" t="n">
        <v>752.3099999999999</v>
      </c>
      <c r="N80" s="3" t="n">
        <v>343.42</v>
      </c>
      <c r="O80" s="3" t="n">
        <v>35.5</v>
      </c>
      <c r="P80" s="3" t="n">
        <v>22.69</v>
      </c>
      <c r="Q80" s="4" t="n">
        <v>401.61</v>
      </c>
      <c r="R80" s="4">
        <f>M80-Q80</f>
        <v/>
      </c>
      <c r="S80" s="5">
        <f>IF(M80=0,"-",(R80/M80))</f>
        <v/>
      </c>
      <c r="T80" s="6" t="n">
        <v>46</v>
      </c>
      <c r="U80" s="4">
        <f>M80*T80</f>
        <v/>
      </c>
      <c r="V80" s="4">
        <f>Q80*T80</f>
        <v/>
      </c>
      <c r="W80" s="4">
        <f>U80-V80</f>
        <v/>
      </c>
      <c r="X80" s="2" t="inlineStr">
        <is>
          <t>Changi Airport Group</t>
        </is>
      </c>
      <c r="Y80" s="2" t="inlineStr">
        <is>
          <t>End User</t>
        </is>
      </c>
      <c r="Z80" s="2" t="inlineStr">
        <is>
          <t>Smart City Initiative</t>
        </is>
      </c>
      <c r="AA80" s="2" t="inlineStr">
        <is>
          <t>Industrial</t>
        </is>
      </c>
      <c r="AB80" s="2" t="inlineStr">
        <is>
          <t>Vietnam</t>
        </is>
      </c>
      <c r="AC80" s="2" t="inlineStr">
        <is>
          <t>Online</t>
        </is>
      </c>
      <c r="AD80" s="2" t="n">
        <v>2022</v>
      </c>
      <c r="AE80" s="2" t="inlineStr">
        <is>
          <t>Bundle</t>
        </is>
      </c>
      <c r="AF80" s="2" t="n">
        <v>36</v>
      </c>
      <c r="AG80" s="2" t="inlineStr">
        <is>
          <t>Gen 2</t>
        </is>
      </c>
      <c r="AH80" s="3" t="n">
        <v>662.05</v>
      </c>
      <c r="AI80" s="4" t="n">
        <v>90.26000000000001</v>
      </c>
      <c r="AJ80" s="2" t="inlineStr">
        <is>
          <t>Matched quote</t>
        </is>
      </c>
    </row>
    <row r="81">
      <c r="A81" s="7" t="inlineStr">
        <is>
          <t>SKU-010</t>
        </is>
      </c>
      <c r="B81" s="7" t="inlineStr">
        <is>
          <t>Turret Cam 8MP 4K AI</t>
        </is>
      </c>
      <c r="C81" s="7" t="inlineStr">
        <is>
          <t>Turret</t>
        </is>
      </c>
      <c r="D81" s="7" t="inlineStr">
        <is>
          <t>8MP (4K)</t>
        </is>
      </c>
      <c r="E81" s="7" t="inlineStr">
        <is>
          <t>AI-enabled</t>
        </is>
      </c>
      <c r="F81" s="7" t="inlineStr">
        <is>
          <t>Outdoor</t>
        </is>
      </c>
      <c r="G81" s="7" t="inlineStr">
        <is>
          <t>IP66</t>
        </is>
      </c>
      <c r="H81" s="8" t="n">
        <v>826.8</v>
      </c>
      <c r="I81" s="9" t="n">
        <v>719.48</v>
      </c>
      <c r="J81" s="10" t="n">
        <v>0.1298</v>
      </c>
      <c r="K81" s="9" t="n">
        <v>107.32</v>
      </c>
      <c r="L81" s="7" t="inlineStr">
        <is>
          <t>Project Bid</t>
        </is>
      </c>
      <c r="M81" s="9" t="n">
        <v>719.48</v>
      </c>
      <c r="N81" s="8" t="n">
        <v>355.94</v>
      </c>
      <c r="O81" s="8" t="n">
        <v>21.72</v>
      </c>
      <c r="P81" s="8" t="n">
        <v>12.67</v>
      </c>
      <c r="Q81" s="9" t="n">
        <v>390.33</v>
      </c>
      <c r="R81" s="9">
        <f>M81-Q81</f>
        <v/>
      </c>
      <c r="S81" s="10">
        <f>IF(M81=0,"-",(R81/M81))</f>
        <v/>
      </c>
      <c r="T81" s="11" t="n">
        <v>43</v>
      </c>
      <c r="U81" s="9">
        <f>M81*T81</f>
        <v/>
      </c>
      <c r="V81" s="9">
        <f>Q81*T81</f>
        <v/>
      </c>
      <c r="W81" s="9">
        <f>U81-V81</f>
        <v/>
      </c>
      <c r="X81" s="7" t="inlineStr">
        <is>
          <t>SkyNet Resellers</t>
        </is>
      </c>
      <c r="Y81" s="7" t="inlineStr">
        <is>
          <t>Reseller</t>
        </is>
      </c>
      <c r="Z81" s="7" t="inlineStr">
        <is>
          <t>City Surveillance Phase 1</t>
        </is>
      </c>
      <c r="AA81" s="7" t="inlineStr">
        <is>
          <t>Transport</t>
        </is>
      </c>
      <c r="AB81" s="7" t="inlineStr">
        <is>
          <t>Philippines</t>
        </is>
      </c>
      <c r="AC81" s="7" t="inlineStr">
        <is>
          <t>Online</t>
        </is>
      </c>
      <c r="AD81" s="7" t="n">
        <v>2022</v>
      </c>
      <c r="AE81" s="7" t="inlineStr">
        <is>
          <t>Bundle</t>
        </is>
      </c>
      <c r="AF81" s="7" t="n">
        <v>36</v>
      </c>
      <c r="AG81" s="7" t="inlineStr">
        <is>
          <t>Gen 1</t>
        </is>
      </c>
      <c r="AH81" s="8" t="n">
        <v>738.51</v>
      </c>
      <c r="AI81" s="9" t="n">
        <v>-19.03</v>
      </c>
      <c r="AJ81" s="7" t="inlineStr">
        <is>
          <t>Rush order</t>
        </is>
      </c>
    </row>
    <row r="82">
      <c r="A82" s="2" t="inlineStr">
        <is>
          <t>SKU-010</t>
        </is>
      </c>
      <c r="B82" s="2" t="inlineStr">
        <is>
          <t>Turret Cam 8MP 4K AI</t>
        </is>
      </c>
      <c r="C82" s="2" t="inlineStr">
        <is>
          <t>Turret</t>
        </is>
      </c>
      <c r="D82" s="2" t="inlineStr">
        <is>
          <t>8MP (4K)</t>
        </is>
      </c>
      <c r="E82" s="2" t="inlineStr">
        <is>
          <t>AI-enabled</t>
        </is>
      </c>
      <c r="F82" s="2" t="inlineStr">
        <is>
          <t>Outdoor</t>
        </is>
      </c>
      <c r="G82" s="2" t="inlineStr">
        <is>
          <t>IP66</t>
        </is>
      </c>
      <c r="H82" s="3" t="n">
        <v>826.8</v>
      </c>
      <c r="I82" s="4" t="n">
        <v>713.6900000000001</v>
      </c>
      <c r="J82" s="5" t="n">
        <v>0.1368</v>
      </c>
      <c r="K82" s="4" t="n">
        <v>113.11</v>
      </c>
      <c r="L82" s="2" t="inlineStr">
        <is>
          <t>Project Bid</t>
        </is>
      </c>
      <c r="M82" s="4" t="n">
        <v>713.6900000000001</v>
      </c>
      <c r="N82" s="3" t="n">
        <v>366.24</v>
      </c>
      <c r="O82" s="3" t="n">
        <v>29.64</v>
      </c>
      <c r="P82" s="3" t="n">
        <v>12.33</v>
      </c>
      <c r="Q82" s="4" t="n">
        <v>408.21</v>
      </c>
      <c r="R82" s="4">
        <f>M82-Q82</f>
        <v/>
      </c>
      <c r="S82" s="5">
        <f>IF(M82=0,"-",(R82/M82))</f>
        <v/>
      </c>
      <c r="T82" s="6" t="n">
        <v>67</v>
      </c>
      <c r="U82" s="4">
        <f>M82*T82</f>
        <v/>
      </c>
      <c r="V82" s="4">
        <f>Q82*T82</f>
        <v/>
      </c>
      <c r="W82" s="4">
        <f>U82-V82</f>
        <v/>
      </c>
      <c r="X82" s="2" t="inlineStr">
        <is>
          <t>SafeCity Solutions</t>
        </is>
      </c>
      <c r="Y82" s="2" t="inlineStr">
        <is>
          <t>System Integrator</t>
        </is>
      </c>
      <c r="Z82" s="2" t="inlineStr">
        <is>
          <t>Airport Terminal Upgrade</t>
        </is>
      </c>
      <c r="AA82" s="2" t="inlineStr">
        <is>
          <t>Transport</t>
        </is>
      </c>
      <c r="AB82" s="2" t="inlineStr">
        <is>
          <t>Malaysia</t>
        </is>
      </c>
      <c r="AC82" s="2" t="inlineStr">
        <is>
          <t>Online</t>
        </is>
      </c>
      <c r="AD82" s="2" t="n">
        <v>2022</v>
      </c>
      <c r="AE82" s="2" t="inlineStr">
        <is>
          <t>Bundle</t>
        </is>
      </c>
      <c r="AF82" s="2" t="n">
        <v>24</v>
      </c>
      <c r="AG82" s="2" t="inlineStr">
        <is>
          <t>Gen 2</t>
        </is>
      </c>
      <c r="AH82" s="3" t="n">
        <v>672.73</v>
      </c>
      <c r="AI82" s="4" t="n">
        <v>40.96</v>
      </c>
      <c r="AJ82" s="2" t="inlineStr">
        <is>
          <t>Promotional period</t>
        </is>
      </c>
    </row>
    <row r="83">
      <c r="A83" s="7" t="inlineStr">
        <is>
          <t>SKU-002</t>
        </is>
      </c>
      <c r="B83" s="7" t="inlineStr">
        <is>
          <t>Dome Cam 4MP IR</t>
        </is>
      </c>
      <c r="C83" s="7" t="inlineStr">
        <is>
          <t>Dome</t>
        </is>
      </c>
      <c r="D83" s="7" t="inlineStr">
        <is>
          <t>4MP</t>
        </is>
      </c>
      <c r="E83" s="7" t="inlineStr">
        <is>
          <t>IP</t>
        </is>
      </c>
      <c r="F83" s="7" t="inlineStr">
        <is>
          <t>Outdoor</t>
        </is>
      </c>
      <c r="G83" s="7" t="inlineStr">
        <is>
          <t>IP66</t>
        </is>
      </c>
      <c r="H83" s="8" t="n">
        <v>339.2</v>
      </c>
      <c r="I83" s="9" t="n">
        <v>324.92</v>
      </c>
      <c r="J83" s="10" t="n">
        <v>0.0421</v>
      </c>
      <c r="K83" s="9" t="n">
        <v>14.28</v>
      </c>
      <c r="L83" s="7" t="inlineStr">
        <is>
          <t>Distributor</t>
        </is>
      </c>
      <c r="M83" s="9" t="n">
        <v>324.92</v>
      </c>
      <c r="N83" s="8" t="n">
        <v>155.59</v>
      </c>
      <c r="O83" s="8" t="n">
        <v>10.01</v>
      </c>
      <c r="P83" s="8" t="n">
        <v>10.47</v>
      </c>
      <c r="Q83" s="9" t="n">
        <v>176.07</v>
      </c>
      <c r="R83" s="9">
        <f>M83-Q83</f>
        <v/>
      </c>
      <c r="S83" s="10">
        <f>IF(M83=0,"-",(R83/M83))</f>
        <v/>
      </c>
      <c r="T83" s="11" t="n">
        <v>19</v>
      </c>
      <c r="U83" s="9">
        <f>M83*T83</f>
        <v/>
      </c>
      <c r="V83" s="9">
        <f>Q83*T83</f>
        <v/>
      </c>
      <c r="W83" s="9">
        <f>U83-V83</f>
        <v/>
      </c>
      <c r="X83" s="7" t="inlineStr">
        <is>
          <t>TechDist Asia</t>
        </is>
      </c>
      <c r="Y83" s="7" t="inlineStr">
        <is>
          <t>Distributor</t>
        </is>
      </c>
      <c r="Z83" s="7" t="inlineStr">
        <is>
          <t>Public Housing CCTV Program</t>
        </is>
      </c>
      <c r="AA83" s="7" t="inlineStr">
        <is>
          <t>Healthcare</t>
        </is>
      </c>
      <c r="AB83" s="7" t="inlineStr">
        <is>
          <t>Vietnam</t>
        </is>
      </c>
      <c r="AC83" s="7" t="inlineStr">
        <is>
          <t>Online</t>
        </is>
      </c>
      <c r="AD83" s="7" t="n">
        <v>2022</v>
      </c>
      <c r="AE83" s="7" t="inlineStr">
        <is>
          <t>Bundle</t>
        </is>
      </c>
      <c r="AF83" s="7" t="n">
        <v>12</v>
      </c>
      <c r="AG83" s="7" t="inlineStr">
        <is>
          <t>Gen 2</t>
        </is>
      </c>
      <c r="AH83" s="8" t="n">
        <v>302.46</v>
      </c>
      <c r="AI83" s="9" t="n">
        <v>22.46</v>
      </c>
      <c r="AJ83" s="7" t="inlineStr">
        <is>
          <t>End-of-life stock</t>
        </is>
      </c>
    </row>
    <row r="84">
      <c r="A84" s="2" t="inlineStr">
        <is>
          <t>SKU-006</t>
        </is>
      </c>
      <c r="B84" s="2" t="inlineStr">
        <is>
          <t>PTZ Cam 8MP 4K</t>
        </is>
      </c>
      <c r="C84" s="2" t="inlineStr">
        <is>
          <t>PTZ</t>
        </is>
      </c>
      <c r="D84" s="2" t="inlineStr">
        <is>
          <t>8MP (4K)</t>
        </is>
      </c>
      <c r="E84" s="2" t="inlineStr">
        <is>
          <t>IP</t>
        </is>
      </c>
      <c r="F84" s="2" t="inlineStr">
        <is>
          <t>Outdoor</t>
        </is>
      </c>
      <c r="G84" s="2" t="inlineStr">
        <is>
          <t>IP67</t>
        </is>
      </c>
      <c r="H84" s="3" t="n">
        <v>1908</v>
      </c>
      <c r="I84" s="4" t="n">
        <v>1501.02</v>
      </c>
      <c r="J84" s="5" t="n">
        <v>0.2133</v>
      </c>
      <c r="K84" s="4" t="n">
        <v>406.98</v>
      </c>
      <c r="L84" s="2" t="inlineStr">
        <is>
          <t>Volume</t>
        </is>
      </c>
      <c r="M84" s="4" t="n">
        <v>1501.02</v>
      </c>
      <c r="N84" s="3" t="n">
        <v>826.8200000000001</v>
      </c>
      <c r="O84" s="3" t="n">
        <v>88</v>
      </c>
      <c r="P84" s="3" t="n">
        <v>19.52</v>
      </c>
      <c r="Q84" s="4" t="n">
        <v>934.34</v>
      </c>
      <c r="R84" s="4">
        <f>M84-Q84</f>
        <v/>
      </c>
      <c r="S84" s="5">
        <f>IF(M84=0,"-",(R84/M84))</f>
        <v/>
      </c>
      <c r="T84" s="6" t="n">
        <v>7</v>
      </c>
      <c r="U84" s="4">
        <f>M84*T84</f>
        <v/>
      </c>
      <c r="V84" s="4">
        <f>Q84*T84</f>
        <v/>
      </c>
      <c r="W84" s="4">
        <f>U84-V84</f>
        <v/>
      </c>
      <c r="X84" s="2" t="inlineStr">
        <is>
          <t>SafeCity Solutions</t>
        </is>
      </c>
      <c r="Y84" s="2" t="inlineStr">
        <is>
          <t>System Integrator</t>
        </is>
      </c>
      <c r="Z84" s="2" t="inlineStr">
        <is>
          <t>Airport Terminal Upgrade</t>
        </is>
      </c>
      <c r="AA84" s="2" t="inlineStr">
        <is>
          <t>Healthcare</t>
        </is>
      </c>
      <c r="AB84" s="2" t="inlineStr">
        <is>
          <t>Philippines</t>
        </is>
      </c>
      <c r="AC84" s="2" t="inlineStr">
        <is>
          <t>Distribution</t>
        </is>
      </c>
      <c r="AD84" s="2" t="n">
        <v>2022</v>
      </c>
      <c r="AE84" s="2" t="inlineStr">
        <is>
          <t>Bundle</t>
        </is>
      </c>
      <c r="AF84" s="2" t="n">
        <v>24</v>
      </c>
      <c r="AG84" s="2" t="inlineStr">
        <is>
          <t>Gen 1</t>
        </is>
      </c>
      <c r="AH84" s="3" t="n">
        <v>1626.28</v>
      </c>
      <c r="AI84" s="4" t="n">
        <v>-125.26</v>
      </c>
      <c r="AJ84" s="2" t="inlineStr">
        <is>
          <t>Promotional period</t>
        </is>
      </c>
    </row>
    <row r="85">
      <c r="A85" s="7" t="inlineStr">
        <is>
          <t>SKU-002</t>
        </is>
      </c>
      <c r="B85" s="7" t="inlineStr">
        <is>
          <t>Dome Cam 4MP IR</t>
        </is>
      </c>
      <c r="C85" s="7" t="inlineStr">
        <is>
          <t>Dome</t>
        </is>
      </c>
      <c r="D85" s="7" t="inlineStr">
        <is>
          <t>4MP</t>
        </is>
      </c>
      <c r="E85" s="7" t="inlineStr">
        <is>
          <t>IP</t>
        </is>
      </c>
      <c r="F85" s="7" t="inlineStr">
        <is>
          <t>Outdoor</t>
        </is>
      </c>
      <c r="G85" s="7" t="inlineStr">
        <is>
          <t>IP66</t>
        </is>
      </c>
      <c r="H85" s="8" t="n">
        <v>339.2</v>
      </c>
      <c r="I85" s="9" t="n">
        <v>304.81</v>
      </c>
      <c r="J85" s="10" t="n">
        <v>0.1014</v>
      </c>
      <c r="K85" s="9" t="n">
        <v>34.39</v>
      </c>
      <c r="L85" s="7" t="inlineStr">
        <is>
          <t>Tender</t>
        </is>
      </c>
      <c r="M85" s="9" t="n">
        <v>304.81</v>
      </c>
      <c r="N85" s="8" t="n">
        <v>141.29</v>
      </c>
      <c r="O85" s="8" t="n">
        <v>14.99</v>
      </c>
      <c r="P85" s="8" t="n">
        <v>7.19</v>
      </c>
      <c r="Q85" s="9" t="n">
        <v>163.47</v>
      </c>
      <c r="R85" s="9">
        <f>M85-Q85</f>
        <v/>
      </c>
      <c r="S85" s="10">
        <f>IF(M85=0,"-",(R85/M85))</f>
        <v/>
      </c>
      <c r="T85" s="11" t="n">
        <v>48</v>
      </c>
      <c r="U85" s="9">
        <f>M85*T85</f>
        <v/>
      </c>
      <c r="V85" s="9">
        <f>Q85*T85</f>
        <v/>
      </c>
      <c r="W85" s="9">
        <f>U85-V85</f>
        <v/>
      </c>
      <c r="X85" s="7" t="inlineStr">
        <is>
          <t>Metro Retail Group</t>
        </is>
      </c>
      <c r="Y85" s="7" t="inlineStr">
        <is>
          <t>End User</t>
        </is>
      </c>
      <c r="Z85" s="7" t="inlineStr">
        <is>
          <t>Public Housing CCTV Program</t>
        </is>
      </c>
      <c r="AA85" s="7" t="inlineStr">
        <is>
          <t>Healthcare</t>
        </is>
      </c>
      <c r="AB85" s="7" t="inlineStr">
        <is>
          <t>Vietnam</t>
        </is>
      </c>
      <c r="AC85" s="7" t="inlineStr">
        <is>
          <t>Distribution</t>
        </is>
      </c>
      <c r="AD85" s="7" t="n">
        <v>2022</v>
      </c>
      <c r="AE85" s="7" t="inlineStr">
        <is>
          <t>Standalone</t>
        </is>
      </c>
      <c r="AF85" s="7" t="n">
        <v>12</v>
      </c>
      <c r="AG85" s="7" t="inlineStr">
        <is>
          <t>Gen 2</t>
        </is>
      </c>
      <c r="AH85" s="8" t="n">
        <v>274.95</v>
      </c>
      <c r="AI85" s="9" t="n">
        <v>29.86</v>
      </c>
      <c r="AJ85" s="7" t="inlineStr">
        <is>
          <t>Standard deal</t>
        </is>
      </c>
    </row>
    <row r="86">
      <c r="A86" s="2" t="inlineStr">
        <is>
          <t>SKU-004</t>
        </is>
      </c>
      <c r="B86" s="2" t="inlineStr">
        <is>
          <t>Bullet Cam 4MP AI</t>
        </is>
      </c>
      <c r="C86" s="2" t="inlineStr">
        <is>
          <t>Bullet</t>
        </is>
      </c>
      <c r="D86" s="2" t="inlineStr">
        <is>
          <t>4MP</t>
        </is>
      </c>
      <c r="E86" s="2" t="inlineStr">
        <is>
          <t>AI-enabled</t>
        </is>
      </c>
      <c r="F86" s="2" t="inlineStr">
        <is>
          <t>Outdoor</t>
        </is>
      </c>
      <c r="G86" s="2" t="inlineStr">
        <is>
          <t>IP67</t>
        </is>
      </c>
      <c r="H86" s="3" t="n">
        <v>508.8</v>
      </c>
      <c r="I86" s="4" t="n">
        <v>406.33</v>
      </c>
      <c r="J86" s="5" t="n">
        <v>0.2014</v>
      </c>
      <c r="K86" s="4" t="n">
        <v>102.47</v>
      </c>
      <c r="L86" s="2" t="inlineStr">
        <is>
          <t>Tender</t>
        </is>
      </c>
      <c r="M86" s="4" t="n">
        <v>406.33</v>
      </c>
      <c r="N86" s="3" t="n">
        <v>216.4</v>
      </c>
      <c r="O86" s="3" t="n">
        <v>11.98</v>
      </c>
      <c r="P86" s="3" t="n">
        <v>11.18</v>
      </c>
      <c r="Q86" s="4" t="n">
        <v>239.56</v>
      </c>
      <c r="R86" s="4">
        <f>M86-Q86</f>
        <v/>
      </c>
      <c r="S86" s="5">
        <f>IF(M86=0,"-",(R86/M86))</f>
        <v/>
      </c>
      <c r="T86" s="6" t="n">
        <v>69</v>
      </c>
      <c r="U86" s="4">
        <f>M86*T86</f>
        <v/>
      </c>
      <c r="V86" s="4">
        <f>Q86*T86</f>
        <v/>
      </c>
      <c r="W86" s="4">
        <f>U86-V86</f>
        <v/>
      </c>
      <c r="X86" s="2" t="inlineStr">
        <is>
          <t>SkyNet Resellers</t>
        </is>
      </c>
      <c r="Y86" s="2" t="inlineStr">
        <is>
          <t>Reseller</t>
        </is>
      </c>
      <c r="Z86" s="2" t="inlineStr">
        <is>
          <t>Public Housing CCTV Program</t>
        </is>
      </c>
      <c r="AA86" s="2" t="inlineStr">
        <is>
          <t>Healthcare</t>
        </is>
      </c>
      <c r="AB86" s="2" t="inlineStr">
        <is>
          <t>Vietnam</t>
        </is>
      </c>
      <c r="AC86" s="2" t="inlineStr">
        <is>
          <t>Direct</t>
        </is>
      </c>
      <c r="AD86" s="2" t="n">
        <v>2022</v>
      </c>
      <c r="AE86" s="2" t="inlineStr">
        <is>
          <t>Standalone</t>
        </is>
      </c>
      <c r="AF86" s="2" t="n">
        <v>36</v>
      </c>
      <c r="AG86" s="2" t="inlineStr">
        <is>
          <t>Gen 2</t>
        </is>
      </c>
      <c r="AH86" s="3" t="n">
        <v>438.18</v>
      </c>
      <c r="AI86" s="4" t="n">
        <v>-31.85</v>
      </c>
      <c r="AJ86" s="2" t="inlineStr">
        <is>
          <t>End-of-life stock</t>
        </is>
      </c>
    </row>
    <row r="87">
      <c r="A87" s="7" t="inlineStr">
        <is>
          <t>SKU-006</t>
        </is>
      </c>
      <c r="B87" s="7" t="inlineStr">
        <is>
          <t>PTZ Cam 8MP 4K</t>
        </is>
      </c>
      <c r="C87" s="7" t="inlineStr">
        <is>
          <t>PTZ</t>
        </is>
      </c>
      <c r="D87" s="7" t="inlineStr">
        <is>
          <t>8MP (4K)</t>
        </is>
      </c>
      <c r="E87" s="7" t="inlineStr">
        <is>
          <t>IP</t>
        </is>
      </c>
      <c r="F87" s="7" t="inlineStr">
        <is>
          <t>Outdoor</t>
        </is>
      </c>
      <c r="G87" s="7" t="inlineStr">
        <is>
          <t>IP67</t>
        </is>
      </c>
      <c r="H87" s="8" t="n">
        <v>1908</v>
      </c>
      <c r="I87" s="9" t="n">
        <v>1575.63</v>
      </c>
      <c r="J87" s="10" t="n">
        <v>0.1742</v>
      </c>
      <c r="K87" s="9" t="n">
        <v>332.37</v>
      </c>
      <c r="L87" s="7" t="inlineStr">
        <is>
          <t>Volume</t>
        </is>
      </c>
      <c r="M87" s="9" t="n">
        <v>1575.63</v>
      </c>
      <c r="N87" s="8" t="n">
        <v>848.3099999999999</v>
      </c>
      <c r="O87" s="8" t="n">
        <v>52.93</v>
      </c>
      <c r="P87" s="8" t="n">
        <v>49.75</v>
      </c>
      <c r="Q87" s="9" t="n">
        <v>950.99</v>
      </c>
      <c r="R87" s="9">
        <f>M87-Q87</f>
        <v/>
      </c>
      <c r="S87" s="10">
        <f>IF(M87=0,"-",(R87/M87))</f>
        <v/>
      </c>
      <c r="T87" s="11" t="n">
        <v>65</v>
      </c>
      <c r="U87" s="9">
        <f>M87*T87</f>
        <v/>
      </c>
      <c r="V87" s="9">
        <f>Q87*T87</f>
        <v/>
      </c>
      <c r="W87" s="9">
        <f>U87-V87</f>
        <v/>
      </c>
      <c r="X87" s="7" t="inlineStr">
        <is>
          <t>GovTech Singapore</t>
        </is>
      </c>
      <c r="Y87" s="7" t="inlineStr">
        <is>
          <t>End User</t>
        </is>
      </c>
      <c r="Z87" s="7" t="inlineStr">
        <is>
          <t>Port Authority Monitoring</t>
        </is>
      </c>
      <c r="AA87" s="7" t="inlineStr">
        <is>
          <t>Government</t>
        </is>
      </c>
      <c r="AB87" s="7" t="inlineStr">
        <is>
          <t>Malaysia</t>
        </is>
      </c>
      <c r="AC87" s="7" t="inlineStr">
        <is>
          <t>Distribution</t>
        </is>
      </c>
      <c r="AD87" s="7" t="n">
        <v>2022</v>
      </c>
      <c r="AE87" s="7" t="inlineStr">
        <is>
          <t>Bundle</t>
        </is>
      </c>
      <c r="AF87" s="7" t="n">
        <v>36</v>
      </c>
      <c r="AG87" s="7" t="inlineStr">
        <is>
          <t>Gen 1</t>
        </is>
      </c>
      <c r="AH87" s="8" t="n">
        <v>1632.63</v>
      </c>
      <c r="AI87" s="9" t="n">
        <v>-57</v>
      </c>
      <c r="AJ87" s="7" t="inlineStr">
        <is>
          <t>Rush order</t>
        </is>
      </c>
    </row>
    <row r="88">
      <c r="A88" s="2" t="inlineStr">
        <is>
          <t>SKU-010</t>
        </is>
      </c>
      <c r="B88" s="2" t="inlineStr">
        <is>
          <t>Turret Cam 8MP 4K AI</t>
        </is>
      </c>
      <c r="C88" s="2" t="inlineStr">
        <is>
          <t>Turret</t>
        </is>
      </c>
      <c r="D88" s="2" t="inlineStr">
        <is>
          <t>8MP (4K)</t>
        </is>
      </c>
      <c r="E88" s="2" t="inlineStr">
        <is>
          <t>AI-enabled</t>
        </is>
      </c>
      <c r="F88" s="2" t="inlineStr">
        <is>
          <t>Outdoor</t>
        </is>
      </c>
      <c r="G88" s="2" t="inlineStr">
        <is>
          <t>IP66</t>
        </is>
      </c>
      <c r="H88" s="3" t="n">
        <v>826.8</v>
      </c>
      <c r="I88" s="4" t="n">
        <v>721.55</v>
      </c>
      <c r="J88" s="5" t="n">
        <v>0.1273</v>
      </c>
      <c r="K88" s="4" t="n">
        <v>105.25</v>
      </c>
      <c r="L88" s="2" t="inlineStr">
        <is>
          <t>Distributor</t>
        </is>
      </c>
      <c r="M88" s="4" t="n">
        <v>721.55</v>
      </c>
      <c r="N88" s="3" t="n">
        <v>344.84</v>
      </c>
      <c r="O88" s="3" t="n">
        <v>24.55</v>
      </c>
      <c r="P88" s="3" t="n">
        <v>11.63</v>
      </c>
      <c r="Q88" s="4" t="n">
        <v>381.02</v>
      </c>
      <c r="R88" s="4">
        <f>M88-Q88</f>
        <v/>
      </c>
      <c r="S88" s="5">
        <f>IF(M88=0,"-",(R88/M88))</f>
        <v/>
      </c>
      <c r="T88" s="6" t="n">
        <v>9</v>
      </c>
      <c r="U88" s="4">
        <f>M88*T88</f>
        <v/>
      </c>
      <c r="V88" s="4">
        <f>Q88*T88</f>
        <v/>
      </c>
      <c r="W88" s="4">
        <f>U88-V88</f>
        <v/>
      </c>
      <c r="X88" s="2" t="inlineStr">
        <is>
          <t>Pacific Security Hub</t>
        </is>
      </c>
      <c r="Y88" s="2" t="inlineStr">
        <is>
          <t>Distributor</t>
        </is>
      </c>
      <c r="Z88" s="2" t="inlineStr">
        <is>
          <t>Public Housing CCTV Program</t>
        </is>
      </c>
      <c r="AA88" s="2" t="inlineStr">
        <is>
          <t>Commercial</t>
        </is>
      </c>
      <c r="AB88" s="2" t="inlineStr">
        <is>
          <t>Philippines</t>
        </is>
      </c>
      <c r="AC88" s="2" t="inlineStr">
        <is>
          <t>Online</t>
        </is>
      </c>
      <c r="AD88" s="2" t="n">
        <v>2022</v>
      </c>
      <c r="AE88" s="2" t="inlineStr">
        <is>
          <t>Standalone</t>
        </is>
      </c>
      <c r="AF88" s="2" t="n">
        <v>12</v>
      </c>
      <c r="AG88" s="2" t="inlineStr">
        <is>
          <t>Gen 2</t>
        </is>
      </c>
      <c r="AH88" s="3" t="n">
        <v>696.36</v>
      </c>
      <c r="AI88" s="4" t="n">
        <v>25.19</v>
      </c>
      <c r="AJ88" s="2" t="inlineStr">
        <is>
          <t>Standard deal</t>
        </is>
      </c>
    </row>
    <row r="89">
      <c r="A89" s="7" t="inlineStr">
        <is>
          <t>SKU-005</t>
        </is>
      </c>
      <c r="B89" s="7" t="inlineStr">
        <is>
          <t>PTZ Cam 4MP</t>
        </is>
      </c>
      <c r="C89" s="7" t="inlineStr">
        <is>
          <t>PTZ</t>
        </is>
      </c>
      <c r="D89" s="7" t="inlineStr">
        <is>
          <t>4MP</t>
        </is>
      </c>
      <c r="E89" s="7" t="inlineStr">
        <is>
          <t>IP</t>
        </is>
      </c>
      <c r="F89" s="7" t="inlineStr">
        <is>
          <t>Outdoor</t>
        </is>
      </c>
      <c r="G89" s="7" t="inlineStr">
        <is>
          <t>IP66</t>
        </is>
      </c>
      <c r="H89" s="8" t="n">
        <v>1007</v>
      </c>
      <c r="I89" s="9" t="n">
        <v>864.41</v>
      </c>
      <c r="J89" s="10" t="n">
        <v>0.1416</v>
      </c>
      <c r="K89" s="9" t="n">
        <v>142.59</v>
      </c>
      <c r="L89" s="7" t="inlineStr">
        <is>
          <t>Distributor</t>
        </is>
      </c>
      <c r="M89" s="9" t="n">
        <v>864.41</v>
      </c>
      <c r="N89" s="8" t="n">
        <v>450.32</v>
      </c>
      <c r="O89" s="8" t="n">
        <v>37.1</v>
      </c>
      <c r="P89" s="8" t="n">
        <v>21.49</v>
      </c>
      <c r="Q89" s="9" t="n">
        <v>508.91</v>
      </c>
      <c r="R89" s="9">
        <f>M89-Q89</f>
        <v/>
      </c>
      <c r="S89" s="10">
        <f>IF(M89=0,"-",(R89/M89))</f>
        <v/>
      </c>
      <c r="T89" s="11" t="n">
        <v>7</v>
      </c>
      <c r="U89" s="9">
        <f>M89*T89</f>
        <v/>
      </c>
      <c r="V89" s="9">
        <f>Q89*T89</f>
        <v/>
      </c>
      <c r="W89" s="9">
        <f>U89-V89</f>
        <v/>
      </c>
      <c r="X89" s="7" t="inlineStr">
        <is>
          <t>Pacific Security Hub</t>
        </is>
      </c>
      <c r="Y89" s="7" t="inlineStr">
        <is>
          <t>Distributor</t>
        </is>
      </c>
      <c r="Z89" s="7" t="inlineStr">
        <is>
          <t>Warehouse Monitoring</t>
        </is>
      </c>
      <c r="AA89" s="7" t="inlineStr">
        <is>
          <t>Government</t>
        </is>
      </c>
      <c r="AB89" s="7" t="inlineStr">
        <is>
          <t>Singapore</t>
        </is>
      </c>
      <c r="AC89" s="7" t="inlineStr">
        <is>
          <t>Distribution</t>
        </is>
      </c>
      <c r="AD89" s="7" t="n">
        <v>2022</v>
      </c>
      <c r="AE89" s="7" t="inlineStr">
        <is>
          <t>Bundle</t>
        </is>
      </c>
      <c r="AF89" s="7" t="n">
        <v>36</v>
      </c>
      <c r="AG89" s="7" t="inlineStr">
        <is>
          <t>Gen 1</t>
        </is>
      </c>
      <c r="AH89" s="8" t="n">
        <v>859.95</v>
      </c>
      <c r="AI89" s="9" t="n">
        <v>4.46</v>
      </c>
      <c r="AJ89" s="7" t="inlineStr">
        <is>
          <t>Rush order</t>
        </is>
      </c>
    </row>
    <row r="90">
      <c r="A90" s="2" t="inlineStr">
        <is>
          <t>SKU-004</t>
        </is>
      </c>
      <c r="B90" s="2" t="inlineStr">
        <is>
          <t>Bullet Cam 4MP AI</t>
        </is>
      </c>
      <c r="C90" s="2" t="inlineStr">
        <is>
          <t>Bullet</t>
        </is>
      </c>
      <c r="D90" s="2" t="inlineStr">
        <is>
          <t>4MP</t>
        </is>
      </c>
      <c r="E90" s="2" t="inlineStr">
        <is>
          <t>AI-enabled</t>
        </is>
      </c>
      <c r="F90" s="2" t="inlineStr">
        <is>
          <t>Outdoor</t>
        </is>
      </c>
      <c r="G90" s="2" t="inlineStr">
        <is>
          <t>IP67</t>
        </is>
      </c>
      <c r="H90" s="3" t="n">
        <v>508.8</v>
      </c>
      <c r="I90" s="4" t="n">
        <v>484.07</v>
      </c>
      <c r="J90" s="5" t="n">
        <v>0.0486</v>
      </c>
      <c r="K90" s="4" t="n">
        <v>24.73</v>
      </c>
      <c r="L90" s="2" t="inlineStr">
        <is>
          <t>Project Bid</t>
        </is>
      </c>
      <c r="M90" s="4" t="n">
        <v>484.07</v>
      </c>
      <c r="N90" s="3" t="n">
        <v>233.34</v>
      </c>
      <c r="O90" s="3" t="n">
        <v>22.22</v>
      </c>
      <c r="P90" s="3" t="n">
        <v>5.12</v>
      </c>
      <c r="Q90" s="4" t="n">
        <v>260.68</v>
      </c>
      <c r="R90" s="4">
        <f>M90-Q90</f>
        <v/>
      </c>
      <c r="S90" s="5">
        <f>IF(M90=0,"-",(R90/M90))</f>
        <v/>
      </c>
      <c r="T90" s="6" t="n">
        <v>58</v>
      </c>
      <c r="U90" s="4">
        <f>M90*T90</f>
        <v/>
      </c>
      <c r="V90" s="4">
        <f>Q90*T90</f>
        <v/>
      </c>
      <c r="W90" s="4">
        <f>U90-V90</f>
        <v/>
      </c>
      <c r="X90" s="2" t="inlineStr">
        <is>
          <t>Metro Retail Group</t>
        </is>
      </c>
      <c r="Y90" s="2" t="inlineStr">
        <is>
          <t>End User</t>
        </is>
      </c>
      <c r="Z90" s="2" t="inlineStr">
        <is>
          <t>Public Housing CCTV Program</t>
        </is>
      </c>
      <c r="AA90" s="2" t="inlineStr">
        <is>
          <t>Healthcare</t>
        </is>
      </c>
      <c r="AB90" s="2" t="inlineStr">
        <is>
          <t>Vietnam</t>
        </is>
      </c>
      <c r="AC90" s="2" t="inlineStr">
        <is>
          <t>Direct</t>
        </is>
      </c>
      <c r="AD90" s="2" t="n">
        <v>2022</v>
      </c>
      <c r="AE90" s="2" t="inlineStr">
        <is>
          <t>Standalone</t>
        </is>
      </c>
      <c r="AF90" s="2" t="n">
        <v>12</v>
      </c>
      <c r="AG90" s="2" t="inlineStr">
        <is>
          <t>Gen 2</t>
        </is>
      </c>
      <c r="AH90" s="3" t="n">
        <v>467.55</v>
      </c>
      <c r="AI90" s="4" t="n">
        <v>16.52</v>
      </c>
      <c r="AJ90" s="2" t="inlineStr">
        <is>
          <t>Rush order</t>
        </is>
      </c>
    </row>
    <row r="91">
      <c r="A91" s="7" t="inlineStr">
        <is>
          <t>SKU-009</t>
        </is>
      </c>
      <c r="B91" s="7" t="inlineStr">
        <is>
          <t>Turret Cam 4MP</t>
        </is>
      </c>
      <c r="C91" s="7" t="inlineStr">
        <is>
          <t>Turret</t>
        </is>
      </c>
      <c r="D91" s="7" t="inlineStr">
        <is>
          <t>4MP</t>
        </is>
      </c>
      <c r="E91" s="7" t="inlineStr">
        <is>
          <t>IP</t>
        </is>
      </c>
      <c r="F91" s="7" t="inlineStr">
        <is>
          <t>Indoor</t>
        </is>
      </c>
      <c r="G91" s="7" t="inlineStr">
        <is>
          <t>IP65</t>
        </is>
      </c>
      <c r="H91" s="8" t="n">
        <v>307.4</v>
      </c>
      <c r="I91" s="9" t="n">
        <v>254.4</v>
      </c>
      <c r="J91" s="10" t="n">
        <v>0.1724</v>
      </c>
      <c r="K91" s="9" t="n">
        <v>53</v>
      </c>
      <c r="L91" s="7" t="inlineStr">
        <is>
          <t>Tender</t>
        </is>
      </c>
      <c r="M91" s="9" t="n">
        <v>254.4</v>
      </c>
      <c r="N91" s="8" t="n">
        <v>136.33</v>
      </c>
      <c r="O91" s="8" t="n">
        <v>7.45</v>
      </c>
      <c r="P91" s="8" t="n">
        <v>3.37</v>
      </c>
      <c r="Q91" s="9" t="n">
        <v>147.15</v>
      </c>
      <c r="R91" s="9">
        <f>M91-Q91</f>
        <v/>
      </c>
      <c r="S91" s="10">
        <f>IF(M91=0,"-",(R91/M91))</f>
        <v/>
      </c>
      <c r="T91" s="11" t="n">
        <v>51</v>
      </c>
      <c r="U91" s="9">
        <f>M91*T91</f>
        <v/>
      </c>
      <c r="V91" s="9">
        <f>Q91*T91</f>
        <v/>
      </c>
      <c r="W91" s="9">
        <f>U91-V91</f>
        <v/>
      </c>
      <c r="X91" s="7" t="inlineStr">
        <is>
          <t>SmartBuild Integrators</t>
        </is>
      </c>
      <c r="Y91" s="7" t="inlineStr">
        <is>
          <t>System Integrator</t>
        </is>
      </c>
      <c r="Z91" s="7" t="inlineStr">
        <is>
          <t>Mall Security Rollout</t>
        </is>
      </c>
      <c r="AA91" s="7" t="inlineStr">
        <is>
          <t>Retail</t>
        </is>
      </c>
      <c r="AB91" s="7" t="inlineStr">
        <is>
          <t>Indonesia</t>
        </is>
      </c>
      <c r="AC91" s="7" t="inlineStr">
        <is>
          <t>Distribution</t>
        </is>
      </c>
      <c r="AD91" s="7" t="n">
        <v>2022</v>
      </c>
      <c r="AE91" s="7" t="inlineStr">
        <is>
          <t>Standalone</t>
        </is>
      </c>
      <c r="AF91" s="7" t="n">
        <v>24</v>
      </c>
      <c r="AG91" s="7" t="inlineStr">
        <is>
          <t>Gen 1</t>
        </is>
      </c>
      <c r="AH91" s="8" t="n">
        <v>256.4</v>
      </c>
      <c r="AI91" s="9" t="n">
        <v>-2</v>
      </c>
      <c r="AJ91" s="7" t="inlineStr"/>
    </row>
    <row r="92">
      <c r="A92" s="2" t="inlineStr">
        <is>
          <t>SKU-010</t>
        </is>
      </c>
      <c r="B92" s="2" t="inlineStr">
        <is>
          <t>Turret Cam 8MP 4K AI</t>
        </is>
      </c>
      <c r="C92" s="2" t="inlineStr">
        <is>
          <t>Turret</t>
        </is>
      </c>
      <c r="D92" s="2" t="inlineStr">
        <is>
          <t>8MP (4K)</t>
        </is>
      </c>
      <c r="E92" s="2" t="inlineStr">
        <is>
          <t>AI-enabled</t>
        </is>
      </c>
      <c r="F92" s="2" t="inlineStr">
        <is>
          <t>Outdoor</t>
        </is>
      </c>
      <c r="G92" s="2" t="inlineStr">
        <is>
          <t>IP66</t>
        </is>
      </c>
      <c r="H92" s="3" t="n">
        <v>826.8</v>
      </c>
      <c r="I92" s="4" t="n">
        <v>673.1</v>
      </c>
      <c r="J92" s="5" t="n">
        <v>0.1859</v>
      </c>
      <c r="K92" s="4" t="n">
        <v>153.7</v>
      </c>
      <c r="L92" s="2" t="inlineStr">
        <is>
          <t>Volume</t>
        </is>
      </c>
      <c r="M92" s="4" t="n">
        <v>673.1</v>
      </c>
      <c r="N92" s="3" t="n">
        <v>347.03</v>
      </c>
      <c r="O92" s="3" t="n">
        <v>19.41</v>
      </c>
      <c r="P92" s="3" t="n">
        <v>16.64</v>
      </c>
      <c r="Q92" s="4" t="n">
        <v>383.08</v>
      </c>
      <c r="R92" s="4">
        <f>M92-Q92</f>
        <v/>
      </c>
      <c r="S92" s="5">
        <f>IF(M92=0,"-",(R92/M92))</f>
        <v/>
      </c>
      <c r="T92" s="6" t="n">
        <v>44</v>
      </c>
      <c r="U92" s="4">
        <f>M92*T92</f>
        <v/>
      </c>
      <c r="V92" s="4">
        <f>Q92*T92</f>
        <v/>
      </c>
      <c r="W92" s="4">
        <f>U92-V92</f>
        <v/>
      </c>
      <c r="X92" s="2" t="inlineStr">
        <is>
          <t>GovTech Singapore</t>
        </is>
      </c>
      <c r="Y92" s="2" t="inlineStr">
        <is>
          <t>End User</t>
        </is>
      </c>
      <c r="Z92" s="2" t="inlineStr">
        <is>
          <t>Hospital Perimeter Security</t>
        </is>
      </c>
      <c r="AA92" s="2" t="inlineStr">
        <is>
          <t>Government</t>
        </is>
      </c>
      <c r="AB92" s="2" t="inlineStr">
        <is>
          <t>Vietnam</t>
        </is>
      </c>
      <c r="AC92" s="2" t="inlineStr">
        <is>
          <t>Online</t>
        </is>
      </c>
      <c r="AD92" s="2" t="n">
        <v>2022</v>
      </c>
      <c r="AE92" s="2" t="inlineStr">
        <is>
          <t>Standalone</t>
        </is>
      </c>
      <c r="AF92" s="2" t="n">
        <v>24</v>
      </c>
      <c r="AG92" s="2" t="inlineStr">
        <is>
          <t>Gen 2</t>
        </is>
      </c>
      <c r="AH92" s="3" t="n">
        <v>742.12</v>
      </c>
      <c r="AI92" s="4" t="n">
        <v>-69.02</v>
      </c>
      <c r="AJ92" s="2" t="inlineStr"/>
    </row>
    <row r="93">
      <c r="A93" s="7" t="inlineStr">
        <is>
          <t>SKU-009</t>
        </is>
      </c>
      <c r="B93" s="7" t="inlineStr">
        <is>
          <t>Turret Cam 4MP</t>
        </is>
      </c>
      <c r="C93" s="7" t="inlineStr">
        <is>
          <t>Turret</t>
        </is>
      </c>
      <c r="D93" s="7" t="inlineStr">
        <is>
          <t>4MP</t>
        </is>
      </c>
      <c r="E93" s="7" t="inlineStr">
        <is>
          <t>IP</t>
        </is>
      </c>
      <c r="F93" s="7" t="inlineStr">
        <is>
          <t>Indoor</t>
        </is>
      </c>
      <c r="G93" s="7" t="inlineStr">
        <is>
          <t>IP65</t>
        </is>
      </c>
      <c r="H93" s="8" t="n">
        <v>307.4</v>
      </c>
      <c r="I93" s="9" t="n">
        <v>246.35</v>
      </c>
      <c r="J93" s="10" t="n">
        <v>0.1986</v>
      </c>
      <c r="K93" s="9" t="n">
        <v>61.05</v>
      </c>
      <c r="L93" s="7" t="inlineStr">
        <is>
          <t>Distributor</t>
        </is>
      </c>
      <c r="M93" s="9" t="n">
        <v>246.35</v>
      </c>
      <c r="N93" s="8" t="n">
        <v>130.4</v>
      </c>
      <c r="O93" s="8" t="n">
        <v>8.27</v>
      </c>
      <c r="P93" s="8" t="n">
        <v>9.130000000000001</v>
      </c>
      <c r="Q93" s="9" t="n">
        <v>147.8</v>
      </c>
      <c r="R93" s="9">
        <f>M93-Q93</f>
        <v/>
      </c>
      <c r="S93" s="10">
        <f>IF(M93=0,"-",(R93/M93))</f>
        <v/>
      </c>
      <c r="T93" s="11" t="n">
        <v>21</v>
      </c>
      <c r="U93" s="9">
        <f>M93*T93</f>
        <v/>
      </c>
      <c r="V93" s="9">
        <f>Q93*T93</f>
        <v/>
      </c>
      <c r="W93" s="9">
        <f>U93-V93</f>
        <v/>
      </c>
      <c r="X93" s="7" t="inlineStr">
        <is>
          <t>SafeCity Solutions</t>
        </is>
      </c>
      <c r="Y93" s="7" t="inlineStr">
        <is>
          <t>System Integrator</t>
        </is>
      </c>
      <c r="Z93" s="7" t="inlineStr">
        <is>
          <t>Smart City Initiative</t>
        </is>
      </c>
      <c r="AA93" s="7" t="inlineStr">
        <is>
          <t>Education</t>
        </is>
      </c>
      <c r="AB93" s="7" t="inlineStr">
        <is>
          <t>Indonesia</t>
        </is>
      </c>
      <c r="AC93" s="7" t="inlineStr">
        <is>
          <t>Direct</t>
        </is>
      </c>
      <c r="AD93" s="7" t="n">
        <v>2022</v>
      </c>
      <c r="AE93" s="7" t="inlineStr">
        <is>
          <t>Standalone</t>
        </is>
      </c>
      <c r="AF93" s="7" t="n">
        <v>12</v>
      </c>
      <c r="AG93" s="7" t="inlineStr">
        <is>
          <t>Gen 1</t>
        </is>
      </c>
      <c r="AH93" s="8" t="n">
        <v>248.77</v>
      </c>
      <c r="AI93" s="9" t="n">
        <v>-2.42</v>
      </c>
      <c r="AJ93" s="7" t="inlineStr">
        <is>
          <t>Standard deal</t>
        </is>
      </c>
    </row>
    <row r="94">
      <c r="A94" s="2" t="inlineStr">
        <is>
          <t>SKU-009</t>
        </is>
      </c>
      <c r="B94" s="2" t="inlineStr">
        <is>
          <t>Turret Cam 4MP</t>
        </is>
      </c>
      <c r="C94" s="2" t="inlineStr">
        <is>
          <t>Turret</t>
        </is>
      </c>
      <c r="D94" s="2" t="inlineStr">
        <is>
          <t>4MP</t>
        </is>
      </c>
      <c r="E94" s="2" t="inlineStr">
        <is>
          <t>IP</t>
        </is>
      </c>
      <c r="F94" s="2" t="inlineStr">
        <is>
          <t>Indoor</t>
        </is>
      </c>
      <c r="G94" s="2" t="inlineStr">
        <is>
          <t>IP65</t>
        </is>
      </c>
      <c r="H94" s="3" t="n">
        <v>307.4</v>
      </c>
      <c r="I94" s="4" t="n">
        <v>285.94</v>
      </c>
      <c r="J94" s="5" t="n">
        <v>0.0698</v>
      </c>
      <c r="K94" s="4" t="n">
        <v>21.46</v>
      </c>
      <c r="L94" s="2" t="inlineStr">
        <is>
          <t>Loyalty</t>
        </is>
      </c>
      <c r="M94" s="4" t="n">
        <v>285.94</v>
      </c>
      <c r="N94" s="3" t="n">
        <v>127.92</v>
      </c>
      <c r="O94" s="3" t="n">
        <v>12.6</v>
      </c>
      <c r="P94" s="3" t="n">
        <v>6.55</v>
      </c>
      <c r="Q94" s="4" t="n">
        <v>147.07</v>
      </c>
      <c r="R94" s="4">
        <f>M94-Q94</f>
        <v/>
      </c>
      <c r="S94" s="5">
        <f>IF(M94=0,"-",(R94/M94))</f>
        <v/>
      </c>
      <c r="T94" s="6" t="n">
        <v>23</v>
      </c>
      <c r="U94" s="4">
        <f>M94*T94</f>
        <v/>
      </c>
      <c r="V94" s="4">
        <f>Q94*T94</f>
        <v/>
      </c>
      <c r="W94" s="4">
        <f>U94-V94</f>
        <v/>
      </c>
      <c r="X94" s="2" t="inlineStr">
        <is>
          <t>Harbour Trust</t>
        </is>
      </c>
      <c r="Y94" s="2" t="inlineStr">
        <is>
          <t>End User</t>
        </is>
      </c>
      <c r="Z94" s="2" t="inlineStr">
        <is>
          <t>CBD Traffic Surveillance</t>
        </is>
      </c>
      <c r="AA94" s="2" t="inlineStr">
        <is>
          <t>Government</t>
        </is>
      </c>
      <c r="AB94" s="2" t="inlineStr">
        <is>
          <t>Philippines</t>
        </is>
      </c>
      <c r="AC94" s="2" t="inlineStr">
        <is>
          <t>Distribution</t>
        </is>
      </c>
      <c r="AD94" s="2" t="n">
        <v>2022</v>
      </c>
      <c r="AE94" s="2" t="inlineStr">
        <is>
          <t>Bundle</t>
        </is>
      </c>
      <c r="AF94" s="2" t="n">
        <v>36</v>
      </c>
      <c r="AG94" s="2" t="inlineStr">
        <is>
          <t>Gen 2</t>
        </is>
      </c>
      <c r="AH94" s="3" t="n">
        <v>272.52</v>
      </c>
      <c r="AI94" s="4" t="n">
        <v>13.42</v>
      </c>
      <c r="AJ94" s="2" t="inlineStr">
        <is>
          <t>Standard deal</t>
        </is>
      </c>
    </row>
    <row r="95">
      <c r="A95" s="7" t="inlineStr">
        <is>
          <t>SKU-007</t>
        </is>
      </c>
      <c r="B95" s="7" t="inlineStr">
        <is>
          <t>Fisheye Cam 4MP</t>
        </is>
      </c>
      <c r="C95" s="7" t="inlineStr">
        <is>
          <t>Fisheye</t>
        </is>
      </c>
      <c r="D95" s="7" t="inlineStr">
        <is>
          <t>4MP</t>
        </is>
      </c>
      <c r="E95" s="7" t="inlineStr">
        <is>
          <t>IP</t>
        </is>
      </c>
      <c r="F95" s="7" t="inlineStr">
        <is>
          <t>Indoor</t>
        </is>
      </c>
      <c r="G95" s="7" t="inlineStr">
        <is>
          <t>IP65</t>
        </is>
      </c>
      <c r="H95" s="8" t="n">
        <v>657.2</v>
      </c>
      <c r="I95" s="9" t="n">
        <v>520.5700000000001</v>
      </c>
      <c r="J95" s="10" t="n">
        <v>0.2079</v>
      </c>
      <c r="K95" s="9" t="n">
        <v>136.63</v>
      </c>
      <c r="L95" s="7" t="inlineStr">
        <is>
          <t>Tender</t>
        </is>
      </c>
      <c r="M95" s="9" t="n">
        <v>520.5700000000001</v>
      </c>
      <c r="N95" s="8" t="n">
        <v>280.75</v>
      </c>
      <c r="O95" s="8" t="n">
        <v>23.25</v>
      </c>
      <c r="P95" s="8" t="n">
        <v>17.34</v>
      </c>
      <c r="Q95" s="9" t="n">
        <v>321.34</v>
      </c>
      <c r="R95" s="9">
        <f>M95-Q95</f>
        <v/>
      </c>
      <c r="S95" s="10">
        <f>IF(M95=0,"-",(R95/M95))</f>
        <v/>
      </c>
      <c r="T95" s="11" t="n">
        <v>49</v>
      </c>
      <c r="U95" s="9">
        <f>M95*T95</f>
        <v/>
      </c>
      <c r="V95" s="9">
        <f>Q95*T95</f>
        <v/>
      </c>
      <c r="W95" s="9">
        <f>U95-V95</f>
        <v/>
      </c>
      <c r="X95" s="7" t="inlineStr">
        <is>
          <t>Metro Retail Group</t>
        </is>
      </c>
      <c r="Y95" s="7" t="inlineStr">
        <is>
          <t>End User</t>
        </is>
      </c>
      <c r="Z95" s="7" t="inlineStr">
        <is>
          <t>Port Authority Monitoring</t>
        </is>
      </c>
      <c r="AA95" s="7" t="inlineStr">
        <is>
          <t>Healthcare</t>
        </is>
      </c>
      <c r="AB95" s="7" t="inlineStr">
        <is>
          <t>Vietnam</t>
        </is>
      </c>
      <c r="AC95" s="7" t="inlineStr">
        <is>
          <t>Distribution</t>
        </is>
      </c>
      <c r="AD95" s="7" t="n">
        <v>2022</v>
      </c>
      <c r="AE95" s="7" t="inlineStr">
        <is>
          <t>Bundle</t>
        </is>
      </c>
      <c r="AF95" s="7" t="n">
        <v>36</v>
      </c>
      <c r="AG95" s="7" t="inlineStr">
        <is>
          <t>Gen 1</t>
        </is>
      </c>
      <c r="AH95" s="8" t="n">
        <v>579.25</v>
      </c>
      <c r="AI95" s="9" t="n">
        <v>-58.68</v>
      </c>
      <c r="AJ95" s="7" t="inlineStr">
        <is>
          <t>Rush order</t>
        </is>
      </c>
    </row>
    <row r="96">
      <c r="A96" s="2" t="inlineStr">
        <is>
          <t>SKU-008</t>
        </is>
      </c>
      <c r="B96" s="2" t="inlineStr">
        <is>
          <t>Thermal Cam</t>
        </is>
      </c>
      <c r="C96" s="2" t="inlineStr">
        <is>
          <t>Bullet</t>
        </is>
      </c>
      <c r="D96" s="2" t="inlineStr">
        <is>
          <t>2MP</t>
        </is>
      </c>
      <c r="E96" s="2" t="inlineStr">
        <is>
          <t>Thermal</t>
        </is>
      </c>
      <c r="F96" s="2" t="inlineStr">
        <is>
          <t>Outdoor</t>
        </is>
      </c>
      <c r="G96" s="2" t="inlineStr">
        <is>
          <t>IP67</t>
        </is>
      </c>
      <c r="H96" s="3" t="n">
        <v>2544</v>
      </c>
      <c r="I96" s="4" t="n">
        <v>2390.34</v>
      </c>
      <c r="J96" s="5" t="n">
        <v>0.0604</v>
      </c>
      <c r="K96" s="4" t="n">
        <v>153.66</v>
      </c>
      <c r="L96" s="2" t="inlineStr">
        <is>
          <t>Loyalty</t>
        </is>
      </c>
      <c r="M96" s="4" t="n">
        <v>2390.34</v>
      </c>
      <c r="N96" s="3" t="n">
        <v>1146.53</v>
      </c>
      <c r="O96" s="3" t="n">
        <v>77.39</v>
      </c>
      <c r="P96" s="3" t="n">
        <v>59.69</v>
      </c>
      <c r="Q96" s="4" t="n">
        <v>1283.61</v>
      </c>
      <c r="R96" s="4">
        <f>M96-Q96</f>
        <v/>
      </c>
      <c r="S96" s="5">
        <f>IF(M96=0,"-",(R96/M96))</f>
        <v/>
      </c>
      <c r="T96" s="6" t="n">
        <v>49</v>
      </c>
      <c r="U96" s="4">
        <f>M96*T96</f>
        <v/>
      </c>
      <c r="V96" s="4">
        <f>Q96*T96</f>
        <v/>
      </c>
      <c r="W96" s="4">
        <f>U96-V96</f>
        <v/>
      </c>
      <c r="X96" s="2" t="inlineStr">
        <is>
          <t>Pacific Security Hub</t>
        </is>
      </c>
      <c r="Y96" s="2" t="inlineStr">
        <is>
          <t>Distributor</t>
        </is>
      </c>
      <c r="Z96" s="2" t="inlineStr">
        <is>
          <t>School Campus Safety</t>
        </is>
      </c>
      <c r="AA96" s="2" t="inlineStr">
        <is>
          <t>Industrial</t>
        </is>
      </c>
      <c r="AB96" s="2" t="inlineStr">
        <is>
          <t>Thailand</t>
        </is>
      </c>
      <c r="AC96" s="2" t="inlineStr">
        <is>
          <t>Online</t>
        </is>
      </c>
      <c r="AD96" s="2" t="n">
        <v>2022</v>
      </c>
      <c r="AE96" s="2" t="inlineStr">
        <is>
          <t>Standalone</t>
        </is>
      </c>
      <c r="AF96" s="2" t="n">
        <v>12</v>
      </c>
      <c r="AG96" s="2" t="inlineStr">
        <is>
          <t>Gen 1</t>
        </is>
      </c>
      <c r="AH96" s="3" t="n">
        <v>2204.49</v>
      </c>
      <c r="AI96" s="4" t="n">
        <v>185.85</v>
      </c>
      <c r="AJ96" s="2" t="inlineStr">
        <is>
          <t>Standard deal</t>
        </is>
      </c>
    </row>
    <row r="97">
      <c r="A97" s="7" t="inlineStr">
        <is>
          <t>SKU-009</t>
        </is>
      </c>
      <c r="B97" s="7" t="inlineStr">
        <is>
          <t>Turret Cam 4MP</t>
        </is>
      </c>
      <c r="C97" s="7" t="inlineStr">
        <is>
          <t>Turret</t>
        </is>
      </c>
      <c r="D97" s="7" t="inlineStr">
        <is>
          <t>4MP</t>
        </is>
      </c>
      <c r="E97" s="7" t="inlineStr">
        <is>
          <t>IP</t>
        </is>
      </c>
      <c r="F97" s="7" t="inlineStr">
        <is>
          <t>Indoor</t>
        </is>
      </c>
      <c r="G97" s="7" t="inlineStr">
        <is>
          <t>IP65</t>
        </is>
      </c>
      <c r="H97" s="8" t="n">
        <v>307.4</v>
      </c>
      <c r="I97" s="9" t="n">
        <v>283.18</v>
      </c>
      <c r="J97" s="10" t="n">
        <v>0.0788</v>
      </c>
      <c r="K97" s="9" t="n">
        <v>24.22</v>
      </c>
      <c r="L97" s="7" t="inlineStr">
        <is>
          <t>Tender</t>
        </is>
      </c>
      <c r="M97" s="9" t="n">
        <v>283.18</v>
      </c>
      <c r="N97" s="8" t="n">
        <v>138.41</v>
      </c>
      <c r="O97" s="8" t="n">
        <v>11.29</v>
      </c>
      <c r="P97" s="8" t="n">
        <v>5.19</v>
      </c>
      <c r="Q97" s="9" t="n">
        <v>154.89</v>
      </c>
      <c r="R97" s="9">
        <f>M97-Q97</f>
        <v/>
      </c>
      <c r="S97" s="10">
        <f>IF(M97=0,"-",(R97/M97))</f>
        <v/>
      </c>
      <c r="T97" s="11" t="n">
        <v>5</v>
      </c>
      <c r="U97" s="9">
        <f>M97*T97</f>
        <v/>
      </c>
      <c r="V97" s="9">
        <f>Q97*T97</f>
        <v/>
      </c>
      <c r="W97" s="9">
        <f>U97-V97</f>
        <v/>
      </c>
      <c r="X97" s="7" t="inlineStr">
        <is>
          <t>SafeCity Solutions</t>
        </is>
      </c>
      <c r="Y97" s="7" t="inlineStr">
        <is>
          <t>System Integrator</t>
        </is>
      </c>
      <c r="Z97" s="7" t="inlineStr">
        <is>
          <t>School Campus Safety</t>
        </is>
      </c>
      <c r="AA97" s="7" t="inlineStr">
        <is>
          <t>Government</t>
        </is>
      </c>
      <c r="AB97" s="7" t="inlineStr">
        <is>
          <t>Malaysia</t>
        </is>
      </c>
      <c r="AC97" s="7" t="inlineStr">
        <is>
          <t>Distribution</t>
        </is>
      </c>
      <c r="AD97" s="7" t="n">
        <v>2022</v>
      </c>
      <c r="AE97" s="7" t="inlineStr">
        <is>
          <t>Bundle</t>
        </is>
      </c>
      <c r="AF97" s="7" t="n">
        <v>24</v>
      </c>
      <c r="AG97" s="7" t="inlineStr">
        <is>
          <t>Gen 1</t>
        </is>
      </c>
      <c r="AH97" s="8" t="n">
        <v>261.22</v>
      </c>
      <c r="AI97" s="9" t="n">
        <v>21.96</v>
      </c>
      <c r="AJ97" s="7" t="inlineStr">
        <is>
          <t>Promotional period</t>
        </is>
      </c>
    </row>
    <row r="98">
      <c r="A98" s="2" t="inlineStr">
        <is>
          <t>SKU-009</t>
        </is>
      </c>
      <c r="B98" s="2" t="inlineStr">
        <is>
          <t>Turret Cam 4MP</t>
        </is>
      </c>
      <c r="C98" s="2" t="inlineStr">
        <is>
          <t>Turret</t>
        </is>
      </c>
      <c r="D98" s="2" t="inlineStr">
        <is>
          <t>4MP</t>
        </is>
      </c>
      <c r="E98" s="2" t="inlineStr">
        <is>
          <t>IP</t>
        </is>
      </c>
      <c r="F98" s="2" t="inlineStr">
        <is>
          <t>Indoor</t>
        </is>
      </c>
      <c r="G98" s="2" t="inlineStr">
        <is>
          <t>IP65</t>
        </is>
      </c>
      <c r="H98" s="3" t="n">
        <v>307.4</v>
      </c>
      <c r="I98" s="4" t="n">
        <v>254.22</v>
      </c>
      <c r="J98" s="5" t="n">
        <v>0.173</v>
      </c>
      <c r="K98" s="4" t="n">
        <v>53.18</v>
      </c>
      <c r="L98" s="2" t="inlineStr">
        <is>
          <t>Volume</t>
        </is>
      </c>
      <c r="M98" s="4" t="n">
        <v>254.22</v>
      </c>
      <c r="N98" s="3" t="n">
        <v>136.99</v>
      </c>
      <c r="O98" s="3" t="n">
        <v>14.44</v>
      </c>
      <c r="P98" s="3" t="n">
        <v>3.68</v>
      </c>
      <c r="Q98" s="4" t="n">
        <v>155.11</v>
      </c>
      <c r="R98" s="4">
        <f>M98-Q98</f>
        <v/>
      </c>
      <c r="S98" s="5">
        <f>IF(M98=0,"-",(R98/M98))</f>
        <v/>
      </c>
      <c r="T98" s="6" t="n">
        <v>38</v>
      </c>
      <c r="U98" s="4">
        <f>M98*T98</f>
        <v/>
      </c>
      <c r="V98" s="4">
        <f>Q98*T98</f>
        <v/>
      </c>
      <c r="W98" s="4">
        <f>U98-V98</f>
        <v/>
      </c>
      <c r="X98" s="2" t="inlineStr">
        <is>
          <t>Metro Retail Group</t>
        </is>
      </c>
      <c r="Y98" s="2" t="inlineStr">
        <is>
          <t>End User</t>
        </is>
      </c>
      <c r="Z98" s="2" t="inlineStr">
        <is>
          <t>Port Authority Monitoring</t>
        </is>
      </c>
      <c r="AA98" s="2" t="inlineStr">
        <is>
          <t>Healthcare</t>
        </is>
      </c>
      <c r="AB98" s="2" t="inlineStr">
        <is>
          <t>Singapore</t>
        </is>
      </c>
      <c r="AC98" s="2" t="inlineStr">
        <is>
          <t>Distribution</t>
        </is>
      </c>
      <c r="AD98" s="2" t="n">
        <v>2022</v>
      </c>
      <c r="AE98" s="2" t="inlineStr">
        <is>
          <t>Bundle</t>
        </is>
      </c>
      <c r="AF98" s="2" t="n">
        <v>24</v>
      </c>
      <c r="AG98" s="2" t="inlineStr">
        <is>
          <t>Gen 1</t>
        </is>
      </c>
      <c r="AH98" s="3" t="n">
        <v>279.76</v>
      </c>
      <c r="AI98" s="4" t="n">
        <v>-25.54</v>
      </c>
      <c r="AJ98" s="2" t="inlineStr">
        <is>
          <t>Promotional period</t>
        </is>
      </c>
    </row>
    <row r="99">
      <c r="A99" s="7" t="inlineStr">
        <is>
          <t>SKU-003</t>
        </is>
      </c>
      <c r="B99" s="7" t="inlineStr">
        <is>
          <t>Bullet Cam 2MP</t>
        </is>
      </c>
      <c r="C99" s="7" t="inlineStr">
        <is>
          <t>Bullet</t>
        </is>
      </c>
      <c r="D99" s="7" t="inlineStr">
        <is>
          <t>2MP</t>
        </is>
      </c>
      <c r="E99" s="7" t="inlineStr">
        <is>
          <t>Analog</t>
        </is>
      </c>
      <c r="F99" s="7" t="inlineStr">
        <is>
          <t>Outdoor</t>
        </is>
      </c>
      <c r="G99" s="7" t="inlineStr">
        <is>
          <t>IP66</t>
        </is>
      </c>
      <c r="H99" s="8" t="n">
        <v>159</v>
      </c>
      <c r="I99" s="9" t="n">
        <v>128.79</v>
      </c>
      <c r="J99" s="10" t="n">
        <v>0.19</v>
      </c>
      <c r="K99" s="9" t="n">
        <v>30.21</v>
      </c>
      <c r="L99" s="7" t="inlineStr">
        <is>
          <t>Project Bid</t>
        </is>
      </c>
      <c r="M99" s="9" t="n">
        <v>128.79</v>
      </c>
      <c r="N99" s="8" t="n">
        <v>69.23999999999999</v>
      </c>
      <c r="O99" s="8" t="n">
        <v>6.02</v>
      </c>
      <c r="P99" s="8" t="n">
        <v>1.77</v>
      </c>
      <c r="Q99" s="9" t="n">
        <v>77.03</v>
      </c>
      <c r="R99" s="9">
        <f>M99-Q99</f>
        <v/>
      </c>
      <c r="S99" s="10">
        <f>IF(M99=0,"-",(R99/M99))</f>
        <v/>
      </c>
      <c r="T99" s="11" t="n">
        <v>38</v>
      </c>
      <c r="U99" s="9">
        <f>M99*T99</f>
        <v/>
      </c>
      <c r="V99" s="9">
        <f>Q99*T99</f>
        <v/>
      </c>
      <c r="W99" s="9">
        <f>U99-V99</f>
        <v/>
      </c>
      <c r="X99" s="7" t="inlineStr">
        <is>
          <t>Pacific Security Hub</t>
        </is>
      </c>
      <c r="Y99" s="7" t="inlineStr">
        <is>
          <t>Distributor</t>
        </is>
      </c>
      <c r="Z99" s="7" t="inlineStr">
        <is>
          <t>Warehouse Monitoring</t>
        </is>
      </c>
      <c r="AA99" s="7" t="inlineStr">
        <is>
          <t>Education</t>
        </is>
      </c>
      <c r="AB99" s="7" t="inlineStr">
        <is>
          <t>Singapore</t>
        </is>
      </c>
      <c r="AC99" s="7" t="inlineStr">
        <is>
          <t>Direct</t>
        </is>
      </c>
      <c r="AD99" s="7" t="n">
        <v>2022</v>
      </c>
      <c r="AE99" s="7" t="inlineStr">
        <is>
          <t>Standalone</t>
        </is>
      </c>
      <c r="AF99" s="7" t="n">
        <v>12</v>
      </c>
      <c r="AG99" s="7" t="inlineStr">
        <is>
          <t>Gen 1</t>
        </is>
      </c>
      <c r="AH99" s="8" t="n">
        <v>131.73</v>
      </c>
      <c r="AI99" s="9" t="n">
        <v>-2.94</v>
      </c>
      <c r="AJ99" s="7" t="inlineStr">
        <is>
          <t>Standard deal</t>
        </is>
      </c>
    </row>
    <row r="100">
      <c r="A100" s="2" t="inlineStr">
        <is>
          <t>SKU-001</t>
        </is>
      </c>
      <c r="B100" s="2" t="inlineStr">
        <is>
          <t>Dome Cam 2MP Indoor</t>
        </is>
      </c>
      <c r="C100" s="2" t="inlineStr">
        <is>
          <t>Dome</t>
        </is>
      </c>
      <c r="D100" s="2" t="inlineStr">
        <is>
          <t>2MP</t>
        </is>
      </c>
      <c r="E100" s="2" t="inlineStr">
        <is>
          <t>IP</t>
        </is>
      </c>
      <c r="F100" s="2" t="inlineStr">
        <is>
          <t>Indoor</t>
        </is>
      </c>
      <c r="G100" s="2" t="inlineStr">
        <is>
          <t>IP65</t>
        </is>
      </c>
      <c r="H100" s="3" t="n">
        <v>190.8</v>
      </c>
      <c r="I100" s="4" t="n">
        <v>160.94</v>
      </c>
      <c r="J100" s="5" t="n">
        <v>0.1565</v>
      </c>
      <c r="K100" s="4" t="n">
        <v>29.86</v>
      </c>
      <c r="L100" s="2" t="inlineStr">
        <is>
          <t>Project Bid</t>
        </is>
      </c>
      <c r="M100" s="4" t="n">
        <v>160.94</v>
      </c>
      <c r="N100" s="3" t="n">
        <v>85.92</v>
      </c>
      <c r="O100" s="3" t="n">
        <v>8.619999999999999</v>
      </c>
      <c r="P100" s="3" t="n">
        <v>2.97</v>
      </c>
      <c r="Q100" s="4" t="n">
        <v>97.51000000000001</v>
      </c>
      <c r="R100" s="4">
        <f>M100-Q100</f>
        <v/>
      </c>
      <c r="S100" s="5">
        <f>IF(M100=0,"-",(R100/M100))</f>
        <v/>
      </c>
      <c r="T100" s="6" t="n">
        <v>2</v>
      </c>
      <c r="U100" s="4">
        <f>M100*T100</f>
        <v/>
      </c>
      <c r="V100" s="4">
        <f>Q100*T100</f>
        <v/>
      </c>
      <c r="W100" s="4">
        <f>U100-V100</f>
        <v/>
      </c>
      <c r="X100" s="2" t="inlineStr">
        <is>
          <t>Changi Airport Group</t>
        </is>
      </c>
      <c r="Y100" s="2" t="inlineStr">
        <is>
          <t>End User</t>
        </is>
      </c>
      <c r="Z100" s="2" t="inlineStr">
        <is>
          <t>Smart City Initiative</t>
        </is>
      </c>
      <c r="AA100" s="2" t="inlineStr">
        <is>
          <t>Commercial</t>
        </is>
      </c>
      <c r="AB100" s="2" t="inlineStr">
        <is>
          <t>Vietnam</t>
        </is>
      </c>
      <c r="AC100" s="2" t="inlineStr">
        <is>
          <t>Distribution</t>
        </is>
      </c>
      <c r="AD100" s="2" t="n">
        <v>2022</v>
      </c>
      <c r="AE100" s="2" t="inlineStr">
        <is>
          <t>Bundle</t>
        </is>
      </c>
      <c r="AF100" s="2" t="n">
        <v>24</v>
      </c>
      <c r="AG100" s="2" t="inlineStr">
        <is>
          <t>Gen 1</t>
        </is>
      </c>
      <c r="AH100" s="3" t="n">
        <v>166.72</v>
      </c>
      <c r="AI100" s="4" t="n">
        <v>-5.78</v>
      </c>
      <c r="AJ100" s="2" t="inlineStr">
        <is>
          <t>Matched quote</t>
        </is>
      </c>
    </row>
    <row r="101">
      <c r="A101" s="7" t="inlineStr">
        <is>
          <t>SKU-010</t>
        </is>
      </c>
      <c r="B101" s="7" t="inlineStr">
        <is>
          <t>Turret Cam 8MP 4K AI</t>
        </is>
      </c>
      <c r="C101" s="7" t="inlineStr">
        <is>
          <t>Turret</t>
        </is>
      </c>
      <c r="D101" s="7" t="inlineStr">
        <is>
          <t>8MP (4K)</t>
        </is>
      </c>
      <c r="E101" s="7" t="inlineStr">
        <is>
          <t>AI-enabled</t>
        </is>
      </c>
      <c r="F101" s="7" t="inlineStr">
        <is>
          <t>Outdoor</t>
        </is>
      </c>
      <c r="G101" s="7" t="inlineStr">
        <is>
          <t>IP66</t>
        </is>
      </c>
      <c r="H101" s="8" t="n">
        <v>826.8</v>
      </c>
      <c r="I101" s="9" t="n">
        <v>716.5</v>
      </c>
      <c r="J101" s="10" t="n">
        <v>0.1334</v>
      </c>
      <c r="K101" s="9" t="n">
        <v>110.3</v>
      </c>
      <c r="L101" s="7" t="inlineStr">
        <is>
          <t>Loyalty</t>
        </is>
      </c>
      <c r="M101" s="9" t="n">
        <v>716.5</v>
      </c>
      <c r="N101" s="8" t="n">
        <v>356.45</v>
      </c>
      <c r="O101" s="8" t="n">
        <v>33.68</v>
      </c>
      <c r="P101" s="8" t="n">
        <v>24.61</v>
      </c>
      <c r="Q101" s="9" t="n">
        <v>414.74</v>
      </c>
      <c r="R101" s="9">
        <f>M101-Q101</f>
        <v/>
      </c>
      <c r="S101" s="10">
        <f>IF(M101=0,"-",(R101/M101))</f>
        <v/>
      </c>
      <c r="T101" s="11" t="n">
        <v>34</v>
      </c>
      <c r="U101" s="9">
        <f>M101*T101</f>
        <v/>
      </c>
      <c r="V101" s="9">
        <f>Q101*T101</f>
        <v/>
      </c>
      <c r="W101" s="9">
        <f>U101-V101</f>
        <v/>
      </c>
      <c r="X101" s="7" t="inlineStr">
        <is>
          <t>SkyNet Resellers</t>
        </is>
      </c>
      <c r="Y101" s="7" t="inlineStr">
        <is>
          <t>Reseller</t>
        </is>
      </c>
      <c r="Z101" s="7" t="inlineStr">
        <is>
          <t>Mall Security Rollout</t>
        </is>
      </c>
      <c r="AA101" s="7" t="inlineStr">
        <is>
          <t>Commercial</t>
        </is>
      </c>
      <c r="AB101" s="7" t="inlineStr">
        <is>
          <t>Philippines</t>
        </is>
      </c>
      <c r="AC101" s="7" t="inlineStr">
        <is>
          <t>Direct</t>
        </is>
      </c>
      <c r="AD101" s="7" t="n">
        <v>2022</v>
      </c>
      <c r="AE101" s="7" t="inlineStr">
        <is>
          <t>Standalone</t>
        </is>
      </c>
      <c r="AF101" s="7" t="n">
        <v>12</v>
      </c>
      <c r="AG101" s="7" t="inlineStr">
        <is>
          <t>Gen 1</t>
        </is>
      </c>
      <c r="AH101" s="8" t="n">
        <v>735.59</v>
      </c>
      <c r="AI101" s="9" t="n">
        <v>-19.09</v>
      </c>
      <c r="AJ101" s="7" t="inlineStr">
        <is>
          <t>End-of-life stock</t>
        </is>
      </c>
    </row>
    <row r="102">
      <c r="A102" s="2" t="inlineStr">
        <is>
          <t>SKU-002</t>
        </is>
      </c>
      <c r="B102" s="2" t="inlineStr">
        <is>
          <t>Dome Cam 4MP IR</t>
        </is>
      </c>
      <c r="C102" s="2" t="inlineStr">
        <is>
          <t>Dome</t>
        </is>
      </c>
      <c r="D102" s="2" t="inlineStr">
        <is>
          <t>4MP</t>
        </is>
      </c>
      <c r="E102" s="2" t="inlineStr">
        <is>
          <t>IP</t>
        </is>
      </c>
      <c r="F102" s="2" t="inlineStr">
        <is>
          <t>Outdoor</t>
        </is>
      </c>
      <c r="G102" s="2" t="inlineStr">
        <is>
          <t>IP66</t>
        </is>
      </c>
      <c r="H102" s="3" t="n">
        <v>339.2</v>
      </c>
      <c r="I102" s="4" t="n">
        <v>303.75</v>
      </c>
      <c r="J102" s="5" t="n">
        <v>0.1045</v>
      </c>
      <c r="K102" s="4" t="n">
        <v>35.45</v>
      </c>
      <c r="L102" s="2" t="inlineStr">
        <is>
          <t>Project Bid</t>
        </is>
      </c>
      <c r="M102" s="4" t="n">
        <v>303.75</v>
      </c>
      <c r="N102" s="3" t="n">
        <v>146.21</v>
      </c>
      <c r="O102" s="3" t="n">
        <v>13.89</v>
      </c>
      <c r="P102" s="3" t="n">
        <v>8.99</v>
      </c>
      <c r="Q102" s="4" t="n">
        <v>169.09</v>
      </c>
      <c r="R102" s="4">
        <f>M102-Q102</f>
        <v/>
      </c>
      <c r="S102" s="5">
        <f>IF(M102=0,"-",(R102/M102))</f>
        <v/>
      </c>
      <c r="T102" s="6" t="n">
        <v>61</v>
      </c>
      <c r="U102" s="4">
        <f>M102*T102</f>
        <v/>
      </c>
      <c r="V102" s="4">
        <f>Q102*T102</f>
        <v/>
      </c>
      <c r="W102" s="4">
        <f>U102-V102</f>
        <v/>
      </c>
      <c r="X102" s="2" t="inlineStr">
        <is>
          <t>Metro Retail Group</t>
        </is>
      </c>
      <c r="Y102" s="2" t="inlineStr">
        <is>
          <t>End User</t>
        </is>
      </c>
      <c r="Z102" s="2" t="inlineStr">
        <is>
          <t>Port Authority Monitoring</t>
        </is>
      </c>
      <c r="AA102" s="2" t="inlineStr">
        <is>
          <t>Commercial</t>
        </is>
      </c>
      <c r="AB102" s="2" t="inlineStr">
        <is>
          <t>Philippines</t>
        </is>
      </c>
      <c r="AC102" s="2" t="inlineStr">
        <is>
          <t>Online</t>
        </is>
      </c>
      <c r="AD102" s="2" t="n">
        <v>2022</v>
      </c>
      <c r="AE102" s="2" t="inlineStr">
        <is>
          <t>Standalone</t>
        </is>
      </c>
      <c r="AF102" s="2" t="n">
        <v>12</v>
      </c>
      <c r="AG102" s="2" t="inlineStr">
        <is>
          <t>Gen 1</t>
        </is>
      </c>
      <c r="AH102" s="3" t="n">
        <v>311.28</v>
      </c>
      <c r="AI102" s="4" t="n">
        <v>-7.53</v>
      </c>
      <c r="AJ102" s="2" t="inlineStr">
        <is>
          <t>Promotional period</t>
        </is>
      </c>
    </row>
    <row r="103">
      <c r="A103" s="7" t="inlineStr">
        <is>
          <t>SKU-003</t>
        </is>
      </c>
      <c r="B103" s="7" t="inlineStr">
        <is>
          <t>Bullet Cam 2MP</t>
        </is>
      </c>
      <c r="C103" s="7" t="inlineStr">
        <is>
          <t>Bullet</t>
        </is>
      </c>
      <c r="D103" s="7" t="inlineStr">
        <is>
          <t>2MP</t>
        </is>
      </c>
      <c r="E103" s="7" t="inlineStr">
        <is>
          <t>Analog</t>
        </is>
      </c>
      <c r="F103" s="7" t="inlineStr">
        <is>
          <t>Outdoor</t>
        </is>
      </c>
      <c r="G103" s="7" t="inlineStr">
        <is>
          <t>IP66</t>
        </is>
      </c>
      <c r="H103" s="8" t="n">
        <v>159</v>
      </c>
      <c r="I103" s="9" t="n">
        <v>143.2</v>
      </c>
      <c r="J103" s="10" t="n">
        <v>0.0994</v>
      </c>
      <c r="K103" s="9" t="n">
        <v>15.8</v>
      </c>
      <c r="L103" s="7" t="inlineStr">
        <is>
          <t>Distributor</t>
        </is>
      </c>
      <c r="M103" s="9" t="n">
        <v>143.2</v>
      </c>
      <c r="N103" s="8" t="n">
        <v>71.56</v>
      </c>
      <c r="O103" s="8" t="n">
        <v>5.13</v>
      </c>
      <c r="P103" s="8" t="n">
        <v>2.86</v>
      </c>
      <c r="Q103" s="9" t="n">
        <v>79.55</v>
      </c>
      <c r="R103" s="9">
        <f>M103-Q103</f>
        <v/>
      </c>
      <c r="S103" s="10">
        <f>IF(M103=0,"-",(R103/M103))</f>
        <v/>
      </c>
      <c r="T103" s="11" t="n">
        <v>71</v>
      </c>
      <c r="U103" s="9">
        <f>M103*T103</f>
        <v/>
      </c>
      <c r="V103" s="9">
        <f>Q103*T103</f>
        <v/>
      </c>
      <c r="W103" s="9">
        <f>U103-V103</f>
        <v/>
      </c>
      <c r="X103" s="7" t="inlineStr">
        <is>
          <t>GovTech Singapore</t>
        </is>
      </c>
      <c r="Y103" s="7" t="inlineStr">
        <is>
          <t>End User</t>
        </is>
      </c>
      <c r="Z103" s="7" t="inlineStr">
        <is>
          <t>City Surveillance Phase 1</t>
        </is>
      </c>
      <c r="AA103" s="7" t="inlineStr">
        <is>
          <t>Commercial</t>
        </is>
      </c>
      <c r="AB103" s="7" t="inlineStr">
        <is>
          <t>Thailand</t>
        </is>
      </c>
      <c r="AC103" s="7" t="inlineStr">
        <is>
          <t>Direct</t>
        </is>
      </c>
      <c r="AD103" s="7" t="n">
        <v>2022</v>
      </c>
      <c r="AE103" s="7" t="inlineStr">
        <is>
          <t>Bundle</t>
        </is>
      </c>
      <c r="AF103" s="7" t="n">
        <v>12</v>
      </c>
      <c r="AG103" s="7" t="inlineStr">
        <is>
          <t>Gen 1</t>
        </is>
      </c>
      <c r="AH103" s="8" t="n">
        <v>136.23</v>
      </c>
      <c r="AI103" s="9" t="n">
        <v>6.97</v>
      </c>
      <c r="AJ103" s="7" t="inlineStr">
        <is>
          <t>Standard deal</t>
        </is>
      </c>
    </row>
    <row r="104">
      <c r="A104" s="2" t="inlineStr">
        <is>
          <t>SKU-004</t>
        </is>
      </c>
      <c r="B104" s="2" t="inlineStr">
        <is>
          <t>Bullet Cam 4MP AI</t>
        </is>
      </c>
      <c r="C104" s="2" t="inlineStr">
        <is>
          <t>Bullet</t>
        </is>
      </c>
      <c r="D104" s="2" t="inlineStr">
        <is>
          <t>4MP</t>
        </is>
      </c>
      <c r="E104" s="2" t="inlineStr">
        <is>
          <t>AI-enabled</t>
        </is>
      </c>
      <c r="F104" s="2" t="inlineStr">
        <is>
          <t>Outdoor</t>
        </is>
      </c>
      <c r="G104" s="2" t="inlineStr">
        <is>
          <t>IP67</t>
        </is>
      </c>
      <c r="H104" s="3" t="n">
        <v>508.8</v>
      </c>
      <c r="I104" s="4" t="n">
        <v>448.76</v>
      </c>
      <c r="J104" s="5" t="n">
        <v>0.118</v>
      </c>
      <c r="K104" s="4" t="n">
        <v>60.04</v>
      </c>
      <c r="L104" s="2" t="inlineStr">
        <is>
          <t>Distributor</t>
        </is>
      </c>
      <c r="M104" s="4" t="n">
        <v>448.76</v>
      </c>
      <c r="N104" s="3" t="n">
        <v>221.2</v>
      </c>
      <c r="O104" s="3" t="n">
        <v>17.87</v>
      </c>
      <c r="P104" s="3" t="n">
        <v>15</v>
      </c>
      <c r="Q104" s="4" t="n">
        <v>254.07</v>
      </c>
      <c r="R104" s="4">
        <f>M104-Q104</f>
        <v/>
      </c>
      <c r="S104" s="5">
        <f>IF(M104=0,"-",(R104/M104))</f>
        <v/>
      </c>
      <c r="T104" s="6" t="n">
        <v>45</v>
      </c>
      <c r="U104" s="4">
        <f>M104*T104</f>
        <v/>
      </c>
      <c r="V104" s="4">
        <f>Q104*T104</f>
        <v/>
      </c>
      <c r="W104" s="4">
        <f>U104-V104</f>
        <v/>
      </c>
      <c r="X104" s="2" t="inlineStr">
        <is>
          <t>TechDist Asia</t>
        </is>
      </c>
      <c r="Y104" s="2" t="inlineStr">
        <is>
          <t>Distributor</t>
        </is>
      </c>
      <c r="Z104" s="2" t="inlineStr">
        <is>
          <t>Hospital Perimeter Security</t>
        </is>
      </c>
      <c r="AA104" s="2" t="inlineStr">
        <is>
          <t>Industrial</t>
        </is>
      </c>
      <c r="AB104" s="2" t="inlineStr">
        <is>
          <t>Singapore</t>
        </is>
      </c>
      <c r="AC104" s="2" t="inlineStr">
        <is>
          <t>Online</t>
        </is>
      </c>
      <c r="AD104" s="2" t="n">
        <v>2022</v>
      </c>
      <c r="AE104" s="2" t="inlineStr">
        <is>
          <t>Standalone</t>
        </is>
      </c>
      <c r="AF104" s="2" t="n">
        <v>12</v>
      </c>
      <c r="AG104" s="2" t="inlineStr">
        <is>
          <t>Gen 2</t>
        </is>
      </c>
      <c r="AH104" s="3" t="n">
        <v>466.49</v>
      </c>
      <c r="AI104" s="4" t="n">
        <v>-17.73</v>
      </c>
      <c r="AJ104" s="2" t="inlineStr">
        <is>
          <t>Promotional period</t>
        </is>
      </c>
    </row>
    <row r="105">
      <c r="A105" s="7" t="inlineStr">
        <is>
          <t>SKU-008</t>
        </is>
      </c>
      <c r="B105" s="7" t="inlineStr">
        <is>
          <t>Thermal Cam</t>
        </is>
      </c>
      <c r="C105" s="7" t="inlineStr">
        <is>
          <t>Bullet</t>
        </is>
      </c>
      <c r="D105" s="7" t="inlineStr">
        <is>
          <t>2MP</t>
        </is>
      </c>
      <c r="E105" s="7" t="inlineStr">
        <is>
          <t>Thermal</t>
        </is>
      </c>
      <c r="F105" s="7" t="inlineStr">
        <is>
          <t>Outdoor</t>
        </is>
      </c>
      <c r="G105" s="7" t="inlineStr">
        <is>
          <t>IP67</t>
        </is>
      </c>
      <c r="H105" s="8" t="n">
        <v>2616</v>
      </c>
      <c r="I105" s="9" t="n">
        <v>2352.57</v>
      </c>
      <c r="J105" s="10" t="n">
        <v>0.1007</v>
      </c>
      <c r="K105" s="9" t="n">
        <v>263.43</v>
      </c>
      <c r="L105" s="7" t="inlineStr">
        <is>
          <t>Tender</t>
        </is>
      </c>
      <c r="M105" s="9" t="n">
        <v>2352.57</v>
      </c>
      <c r="N105" s="8" t="n">
        <v>1149.7</v>
      </c>
      <c r="O105" s="8" t="n">
        <v>63.93</v>
      </c>
      <c r="P105" s="8" t="n">
        <v>60.99</v>
      </c>
      <c r="Q105" s="9" t="n">
        <v>1274.62</v>
      </c>
      <c r="R105" s="9">
        <f>M105-Q105</f>
        <v/>
      </c>
      <c r="S105" s="10">
        <f>IF(M105=0,"-",(R105/M105))</f>
        <v/>
      </c>
      <c r="T105" s="11" t="n">
        <v>41</v>
      </c>
      <c r="U105" s="9">
        <f>M105*T105</f>
        <v/>
      </c>
      <c r="V105" s="9">
        <f>Q105*T105</f>
        <v/>
      </c>
      <c r="W105" s="9">
        <f>U105-V105</f>
        <v/>
      </c>
      <c r="X105" s="7" t="inlineStr">
        <is>
          <t>Metro Retail Group</t>
        </is>
      </c>
      <c r="Y105" s="7" t="inlineStr">
        <is>
          <t>End User</t>
        </is>
      </c>
      <c r="Z105" s="7" t="inlineStr">
        <is>
          <t>CBD Traffic Surveillance</t>
        </is>
      </c>
      <c r="AA105" s="7" t="inlineStr">
        <is>
          <t>Retail</t>
        </is>
      </c>
      <c r="AB105" s="7" t="inlineStr">
        <is>
          <t>Singapore</t>
        </is>
      </c>
      <c r="AC105" s="7" t="inlineStr">
        <is>
          <t>Online</t>
        </is>
      </c>
      <c r="AD105" s="7" t="n">
        <v>2023</v>
      </c>
      <c r="AE105" s="7" t="inlineStr">
        <is>
          <t>Bundle</t>
        </is>
      </c>
      <c r="AF105" s="7" t="n">
        <v>24</v>
      </c>
      <c r="AG105" s="7" t="inlineStr">
        <is>
          <t>Gen 1</t>
        </is>
      </c>
      <c r="AH105" s="8" t="n">
        <v>2232.78</v>
      </c>
      <c r="AI105" s="9" t="n">
        <v>119.79</v>
      </c>
      <c r="AJ105" s="7" t="inlineStr"/>
    </row>
    <row r="106">
      <c r="A106" s="2" t="inlineStr">
        <is>
          <t>SKU-007</t>
        </is>
      </c>
      <c r="B106" s="2" t="inlineStr">
        <is>
          <t>Fisheye Cam 4MP</t>
        </is>
      </c>
      <c r="C106" s="2" t="inlineStr">
        <is>
          <t>Fisheye</t>
        </is>
      </c>
      <c r="D106" s="2" t="inlineStr">
        <is>
          <t>4MP</t>
        </is>
      </c>
      <c r="E106" s="2" t="inlineStr">
        <is>
          <t>IP</t>
        </is>
      </c>
      <c r="F106" s="2" t="inlineStr">
        <is>
          <t>Indoor</t>
        </is>
      </c>
      <c r="G106" s="2" t="inlineStr">
        <is>
          <t>IP65</t>
        </is>
      </c>
      <c r="H106" s="3" t="n">
        <v>675.8</v>
      </c>
      <c r="I106" s="4" t="n">
        <v>560.71</v>
      </c>
      <c r="J106" s="5" t="n">
        <v>0.1703</v>
      </c>
      <c r="K106" s="4" t="n">
        <v>115.09</v>
      </c>
      <c r="L106" s="2" t="inlineStr">
        <is>
          <t>Distributor</t>
        </is>
      </c>
      <c r="M106" s="4" t="n">
        <v>560.71</v>
      </c>
      <c r="N106" s="3" t="n">
        <v>281.79</v>
      </c>
      <c r="O106" s="3" t="n">
        <v>21.26</v>
      </c>
      <c r="P106" s="3" t="n">
        <v>16.92</v>
      </c>
      <c r="Q106" s="4" t="n">
        <v>319.97</v>
      </c>
      <c r="R106" s="4">
        <f>M106-Q106</f>
        <v/>
      </c>
      <c r="S106" s="5">
        <f>IF(M106=0,"-",(R106/M106))</f>
        <v/>
      </c>
      <c r="T106" s="6" t="n">
        <v>22</v>
      </c>
      <c r="U106" s="4">
        <f>M106*T106</f>
        <v/>
      </c>
      <c r="V106" s="4">
        <f>Q106*T106</f>
        <v/>
      </c>
      <c r="W106" s="4">
        <f>U106-V106</f>
        <v/>
      </c>
      <c r="X106" s="2" t="inlineStr">
        <is>
          <t>GovTech Singapore</t>
        </is>
      </c>
      <c r="Y106" s="2" t="inlineStr">
        <is>
          <t>End User</t>
        </is>
      </c>
      <c r="Z106" s="2" t="inlineStr">
        <is>
          <t>Warehouse Monitoring</t>
        </is>
      </c>
      <c r="AA106" s="2" t="inlineStr">
        <is>
          <t>Retail</t>
        </is>
      </c>
      <c r="AB106" s="2" t="inlineStr">
        <is>
          <t>Thailand</t>
        </is>
      </c>
      <c r="AC106" s="2" t="inlineStr">
        <is>
          <t>Direct</t>
        </is>
      </c>
      <c r="AD106" s="2" t="n">
        <v>2023</v>
      </c>
      <c r="AE106" s="2" t="inlineStr">
        <is>
          <t>Standalone</t>
        </is>
      </c>
      <c r="AF106" s="2" t="n">
        <v>24</v>
      </c>
      <c r="AG106" s="2" t="inlineStr">
        <is>
          <t>Gen 1</t>
        </is>
      </c>
      <c r="AH106" s="3" t="n">
        <v>617.91</v>
      </c>
      <c r="AI106" s="4" t="n">
        <v>-57.2</v>
      </c>
      <c r="AJ106" s="2" t="inlineStr">
        <is>
          <t>Matched quote</t>
        </is>
      </c>
    </row>
    <row r="107">
      <c r="A107" s="7" t="inlineStr">
        <is>
          <t>SKU-010</t>
        </is>
      </c>
      <c r="B107" s="7" t="inlineStr">
        <is>
          <t>Turret Cam 8MP 4K AI</t>
        </is>
      </c>
      <c r="C107" s="7" t="inlineStr">
        <is>
          <t>Turret</t>
        </is>
      </c>
      <c r="D107" s="7" t="inlineStr">
        <is>
          <t>8MP (4K)</t>
        </is>
      </c>
      <c r="E107" s="7" t="inlineStr">
        <is>
          <t>AI-enabled</t>
        </is>
      </c>
      <c r="F107" s="7" t="inlineStr">
        <is>
          <t>Outdoor</t>
        </is>
      </c>
      <c r="G107" s="7" t="inlineStr">
        <is>
          <t>IP66</t>
        </is>
      </c>
      <c r="H107" s="8" t="n">
        <v>850.2</v>
      </c>
      <c r="I107" s="9" t="n">
        <v>697.67</v>
      </c>
      <c r="J107" s="10" t="n">
        <v>0.1794</v>
      </c>
      <c r="K107" s="9" t="n">
        <v>152.53</v>
      </c>
      <c r="L107" s="7" t="inlineStr">
        <is>
          <t>Distributor</t>
        </is>
      </c>
      <c r="M107" s="9" t="n">
        <v>697.67</v>
      </c>
      <c r="N107" s="8" t="n">
        <v>374.49</v>
      </c>
      <c r="O107" s="8" t="n">
        <v>43.6</v>
      </c>
      <c r="P107" s="8" t="n">
        <v>14.46</v>
      </c>
      <c r="Q107" s="9" t="n">
        <v>432.55</v>
      </c>
      <c r="R107" s="9">
        <f>M107-Q107</f>
        <v/>
      </c>
      <c r="S107" s="10">
        <f>IF(M107=0,"-",(R107/M107))</f>
        <v/>
      </c>
      <c r="T107" s="11" t="n">
        <v>11</v>
      </c>
      <c r="U107" s="9">
        <f>M107*T107</f>
        <v/>
      </c>
      <c r="V107" s="9">
        <f>Q107*T107</f>
        <v/>
      </c>
      <c r="W107" s="9">
        <f>U107-V107</f>
        <v/>
      </c>
      <c r="X107" s="7" t="inlineStr">
        <is>
          <t>Pacific Security Hub</t>
        </is>
      </c>
      <c r="Y107" s="7" t="inlineStr">
        <is>
          <t>Distributor</t>
        </is>
      </c>
      <c r="Z107" s="7" t="inlineStr">
        <is>
          <t>Airport Terminal Upgrade</t>
        </is>
      </c>
      <c r="AA107" s="7" t="inlineStr">
        <is>
          <t>Transport</t>
        </is>
      </c>
      <c r="AB107" s="7" t="inlineStr">
        <is>
          <t>Singapore</t>
        </is>
      </c>
      <c r="AC107" s="7" t="inlineStr">
        <is>
          <t>Direct</t>
        </is>
      </c>
      <c r="AD107" s="7" t="n">
        <v>2023</v>
      </c>
      <c r="AE107" s="7" t="inlineStr">
        <is>
          <t>Standalone</t>
        </is>
      </c>
      <c r="AF107" s="7" t="n">
        <v>24</v>
      </c>
      <c r="AG107" s="7" t="inlineStr">
        <is>
          <t>Gen 1</t>
        </is>
      </c>
      <c r="AH107" s="8" t="n">
        <v>738.71</v>
      </c>
      <c r="AI107" s="9" t="n">
        <v>-41.04</v>
      </c>
      <c r="AJ107" s="7" t="inlineStr">
        <is>
          <t>Rush order</t>
        </is>
      </c>
    </row>
    <row r="108">
      <c r="A108" s="2" t="inlineStr">
        <is>
          <t>SKU-006</t>
        </is>
      </c>
      <c r="B108" s="2" t="inlineStr">
        <is>
          <t>PTZ Cam 8MP 4K</t>
        </is>
      </c>
      <c r="C108" s="2" t="inlineStr">
        <is>
          <t>PTZ</t>
        </is>
      </c>
      <c r="D108" s="2" t="inlineStr">
        <is>
          <t>8MP (4K)</t>
        </is>
      </c>
      <c r="E108" s="2" t="inlineStr">
        <is>
          <t>IP</t>
        </is>
      </c>
      <c r="F108" s="2" t="inlineStr">
        <is>
          <t>Outdoor</t>
        </is>
      </c>
      <c r="G108" s="2" t="inlineStr">
        <is>
          <t>IP67</t>
        </is>
      </c>
      <c r="H108" s="3" t="n">
        <v>1962</v>
      </c>
      <c r="I108" s="4" t="n">
        <v>1736.17</v>
      </c>
      <c r="J108" s="5" t="n">
        <v>0.1151</v>
      </c>
      <c r="K108" s="4" t="n">
        <v>225.83</v>
      </c>
      <c r="L108" s="2" t="inlineStr">
        <is>
          <t>Project Bid</t>
        </is>
      </c>
      <c r="M108" s="4" t="n">
        <v>1736.17</v>
      </c>
      <c r="N108" s="3" t="n">
        <v>850.12</v>
      </c>
      <c r="O108" s="3" t="n">
        <v>75.93000000000001</v>
      </c>
      <c r="P108" s="3" t="n">
        <v>28.13</v>
      </c>
      <c r="Q108" s="4" t="n">
        <v>954.1799999999999</v>
      </c>
      <c r="R108" s="4">
        <f>M108-Q108</f>
        <v/>
      </c>
      <c r="S108" s="5">
        <f>IF(M108=0,"-",(R108/M108))</f>
        <v/>
      </c>
      <c r="T108" s="6" t="n">
        <v>35</v>
      </c>
      <c r="U108" s="4">
        <f>M108*T108</f>
        <v/>
      </c>
      <c r="V108" s="4">
        <f>Q108*T108</f>
        <v/>
      </c>
      <c r="W108" s="4">
        <f>U108-V108</f>
        <v/>
      </c>
      <c r="X108" s="2" t="inlineStr">
        <is>
          <t>SkyNet Resellers</t>
        </is>
      </c>
      <c r="Y108" s="2" t="inlineStr">
        <is>
          <t>Reseller</t>
        </is>
      </c>
      <c r="Z108" s="2" t="inlineStr">
        <is>
          <t>Hospital Perimeter Security</t>
        </is>
      </c>
      <c r="AA108" s="2" t="inlineStr">
        <is>
          <t>Commercial</t>
        </is>
      </c>
      <c r="AB108" s="2" t="inlineStr">
        <is>
          <t>Indonesia</t>
        </is>
      </c>
      <c r="AC108" s="2" t="inlineStr">
        <is>
          <t>Direct</t>
        </is>
      </c>
      <c r="AD108" s="2" t="n">
        <v>2023</v>
      </c>
      <c r="AE108" s="2" t="inlineStr">
        <is>
          <t>Bundle</t>
        </is>
      </c>
      <c r="AF108" s="2" t="n">
        <v>36</v>
      </c>
      <c r="AG108" s="2" t="inlineStr">
        <is>
          <t>Gen 1</t>
        </is>
      </c>
      <c r="AH108" s="3" t="n">
        <v>1735.36</v>
      </c>
      <c r="AI108" s="4" t="n">
        <v>0.8100000000000001</v>
      </c>
      <c r="AJ108" s="2" t="inlineStr">
        <is>
          <t>Matched quote</t>
        </is>
      </c>
    </row>
    <row r="109">
      <c r="A109" s="7" t="inlineStr">
        <is>
          <t>SKU-010</t>
        </is>
      </c>
      <c r="B109" s="7" t="inlineStr">
        <is>
          <t>Turret Cam 8MP 4K AI</t>
        </is>
      </c>
      <c r="C109" s="7" t="inlineStr">
        <is>
          <t>Turret</t>
        </is>
      </c>
      <c r="D109" s="7" t="inlineStr">
        <is>
          <t>8MP (4K)</t>
        </is>
      </c>
      <c r="E109" s="7" t="inlineStr">
        <is>
          <t>AI-enabled</t>
        </is>
      </c>
      <c r="F109" s="7" t="inlineStr">
        <is>
          <t>Outdoor</t>
        </is>
      </c>
      <c r="G109" s="7" t="inlineStr">
        <is>
          <t>IP66</t>
        </is>
      </c>
      <c r="H109" s="8" t="n">
        <v>850.2</v>
      </c>
      <c r="I109" s="9" t="n">
        <v>673.1</v>
      </c>
      <c r="J109" s="10" t="n">
        <v>0.2083</v>
      </c>
      <c r="K109" s="9" t="n">
        <v>177.1</v>
      </c>
      <c r="L109" s="7" t="inlineStr">
        <is>
          <t>Project Bid</t>
        </is>
      </c>
      <c r="M109" s="9" t="n">
        <v>673.1</v>
      </c>
      <c r="N109" s="8" t="n">
        <v>389.03</v>
      </c>
      <c r="O109" s="8" t="n">
        <v>45.8</v>
      </c>
      <c r="P109" s="8" t="n">
        <v>26.97</v>
      </c>
      <c r="Q109" s="9" t="n">
        <v>461.8</v>
      </c>
      <c r="R109" s="9">
        <f>M109-Q109</f>
        <v/>
      </c>
      <c r="S109" s="10">
        <f>IF(M109=0,"-",(R109/M109))</f>
        <v/>
      </c>
      <c r="T109" s="11" t="n">
        <v>46</v>
      </c>
      <c r="U109" s="9">
        <f>M109*T109</f>
        <v/>
      </c>
      <c r="V109" s="9">
        <f>Q109*T109</f>
        <v/>
      </c>
      <c r="W109" s="9">
        <f>U109-V109</f>
        <v/>
      </c>
      <c r="X109" s="7" t="inlineStr">
        <is>
          <t>TechDist Asia</t>
        </is>
      </c>
      <c r="Y109" s="7" t="inlineStr">
        <is>
          <t>Distributor</t>
        </is>
      </c>
      <c r="Z109" s="7" t="inlineStr">
        <is>
          <t>Warehouse Monitoring</t>
        </is>
      </c>
      <c r="AA109" s="7" t="inlineStr">
        <is>
          <t>Transport</t>
        </is>
      </c>
      <c r="AB109" s="7" t="inlineStr">
        <is>
          <t>Singapore</t>
        </is>
      </c>
      <c r="AC109" s="7" t="inlineStr">
        <is>
          <t>Direct</t>
        </is>
      </c>
      <c r="AD109" s="7" t="n">
        <v>2023</v>
      </c>
      <c r="AE109" s="7" t="inlineStr">
        <is>
          <t>Standalone</t>
        </is>
      </c>
      <c r="AF109" s="7" t="n">
        <v>12</v>
      </c>
      <c r="AG109" s="7" t="inlineStr">
        <is>
          <t>Gen 2</t>
        </is>
      </c>
      <c r="AH109" s="8" t="n">
        <v>752.55</v>
      </c>
      <c r="AI109" s="9" t="n">
        <v>-79.45</v>
      </c>
      <c r="AJ109" s="7" t="inlineStr">
        <is>
          <t>Rush order</t>
        </is>
      </c>
    </row>
    <row r="110">
      <c r="A110" s="2" t="inlineStr">
        <is>
          <t>SKU-009</t>
        </is>
      </c>
      <c r="B110" s="2" t="inlineStr">
        <is>
          <t>Turret Cam 4MP</t>
        </is>
      </c>
      <c r="C110" s="2" t="inlineStr">
        <is>
          <t>Turret</t>
        </is>
      </c>
      <c r="D110" s="2" t="inlineStr">
        <is>
          <t>4MP</t>
        </is>
      </c>
      <c r="E110" s="2" t="inlineStr">
        <is>
          <t>IP</t>
        </is>
      </c>
      <c r="F110" s="2" t="inlineStr">
        <is>
          <t>Indoor</t>
        </is>
      </c>
      <c r="G110" s="2" t="inlineStr">
        <is>
          <t>IP65</t>
        </is>
      </c>
      <c r="H110" s="3" t="n">
        <v>316.1</v>
      </c>
      <c r="I110" s="4" t="n">
        <v>292.65</v>
      </c>
      <c r="J110" s="5" t="n">
        <v>0.0742</v>
      </c>
      <c r="K110" s="4" t="n">
        <v>23.45</v>
      </c>
      <c r="L110" s="2" t="inlineStr">
        <is>
          <t>Volume</t>
        </is>
      </c>
      <c r="M110" s="4" t="n">
        <v>292.65</v>
      </c>
      <c r="N110" s="3" t="n">
        <v>131.09</v>
      </c>
      <c r="O110" s="3" t="n">
        <v>7.83</v>
      </c>
      <c r="P110" s="3" t="n">
        <v>7.8</v>
      </c>
      <c r="Q110" s="4" t="n">
        <v>146.72</v>
      </c>
      <c r="R110" s="4">
        <f>M110-Q110</f>
        <v/>
      </c>
      <c r="S110" s="5">
        <f>IF(M110=0,"-",(R110/M110))</f>
        <v/>
      </c>
      <c r="T110" s="6" t="n">
        <v>5</v>
      </c>
      <c r="U110" s="4">
        <f>M110*T110</f>
        <v/>
      </c>
      <c r="V110" s="4">
        <f>Q110*T110</f>
        <v/>
      </c>
      <c r="W110" s="4">
        <f>U110-V110</f>
        <v/>
      </c>
      <c r="X110" s="2" t="inlineStr">
        <is>
          <t>TechDist Asia</t>
        </is>
      </c>
      <c r="Y110" s="2" t="inlineStr">
        <is>
          <t>Distributor</t>
        </is>
      </c>
      <c r="Z110" s="2" t="inlineStr">
        <is>
          <t>School Campus Safety</t>
        </is>
      </c>
      <c r="AA110" s="2" t="inlineStr">
        <is>
          <t>Industrial</t>
        </is>
      </c>
      <c r="AB110" s="2" t="inlineStr">
        <is>
          <t>Malaysia</t>
        </is>
      </c>
      <c r="AC110" s="2" t="inlineStr">
        <is>
          <t>Online</t>
        </is>
      </c>
      <c r="AD110" s="2" t="n">
        <v>2023</v>
      </c>
      <c r="AE110" s="2" t="inlineStr">
        <is>
          <t>Standalone</t>
        </is>
      </c>
      <c r="AF110" s="2" t="n">
        <v>36</v>
      </c>
      <c r="AG110" s="2" t="inlineStr">
        <is>
          <t>Gen 1</t>
        </is>
      </c>
      <c r="AH110" s="3" t="n">
        <v>266.57</v>
      </c>
      <c r="AI110" s="4" t="n">
        <v>26.08</v>
      </c>
      <c r="AJ110" s="2" t="inlineStr">
        <is>
          <t>Rush order</t>
        </is>
      </c>
    </row>
    <row r="111">
      <c r="A111" s="7" t="inlineStr">
        <is>
          <t>SKU-006</t>
        </is>
      </c>
      <c r="B111" s="7" t="inlineStr">
        <is>
          <t>PTZ Cam 8MP 4K</t>
        </is>
      </c>
      <c r="C111" s="7" t="inlineStr">
        <is>
          <t>PTZ</t>
        </is>
      </c>
      <c r="D111" s="7" t="inlineStr">
        <is>
          <t>8MP (4K)</t>
        </is>
      </c>
      <c r="E111" s="7" t="inlineStr">
        <is>
          <t>IP</t>
        </is>
      </c>
      <c r="F111" s="7" t="inlineStr">
        <is>
          <t>Outdoor</t>
        </is>
      </c>
      <c r="G111" s="7" t="inlineStr">
        <is>
          <t>IP67</t>
        </is>
      </c>
      <c r="H111" s="8" t="n">
        <v>1962</v>
      </c>
      <c r="I111" s="9" t="n">
        <v>1571.17</v>
      </c>
      <c r="J111" s="10" t="n">
        <v>0.1992</v>
      </c>
      <c r="K111" s="9" t="n">
        <v>390.83</v>
      </c>
      <c r="L111" s="7" t="inlineStr">
        <is>
          <t>Project Bid</t>
        </is>
      </c>
      <c r="M111" s="9" t="n">
        <v>1571.17</v>
      </c>
      <c r="N111" s="8" t="n">
        <v>852.38</v>
      </c>
      <c r="O111" s="8" t="n">
        <v>91.73999999999999</v>
      </c>
      <c r="P111" s="8" t="n">
        <v>20.19</v>
      </c>
      <c r="Q111" s="9" t="n">
        <v>964.3099999999999</v>
      </c>
      <c r="R111" s="9">
        <f>M111-Q111</f>
        <v/>
      </c>
      <c r="S111" s="10">
        <f>IF(M111=0,"-",(R111/M111))</f>
        <v/>
      </c>
      <c r="T111" s="11" t="n">
        <v>42</v>
      </c>
      <c r="U111" s="9">
        <f>M111*T111</f>
        <v/>
      </c>
      <c r="V111" s="9">
        <f>Q111*T111</f>
        <v/>
      </c>
      <c r="W111" s="9">
        <f>U111-V111</f>
        <v/>
      </c>
      <c r="X111" s="7" t="inlineStr">
        <is>
          <t>Pacific Security Hub</t>
        </is>
      </c>
      <c r="Y111" s="7" t="inlineStr">
        <is>
          <t>Distributor</t>
        </is>
      </c>
      <c r="Z111" s="7" t="inlineStr">
        <is>
          <t>CBD Traffic Surveillance</t>
        </is>
      </c>
      <c r="AA111" s="7" t="inlineStr">
        <is>
          <t>Transport</t>
        </is>
      </c>
      <c r="AB111" s="7" t="inlineStr">
        <is>
          <t>Vietnam</t>
        </is>
      </c>
      <c r="AC111" s="7" t="inlineStr">
        <is>
          <t>Direct</t>
        </is>
      </c>
      <c r="AD111" s="7" t="n">
        <v>2023</v>
      </c>
      <c r="AE111" s="7" t="inlineStr">
        <is>
          <t>Standalone</t>
        </is>
      </c>
      <c r="AF111" s="7" t="n">
        <v>24</v>
      </c>
      <c r="AG111" s="7" t="inlineStr">
        <is>
          <t>Gen 2</t>
        </is>
      </c>
      <c r="AH111" s="8" t="n">
        <v>1720.83</v>
      </c>
      <c r="AI111" s="9" t="n">
        <v>-149.66</v>
      </c>
      <c r="AJ111" s="7" t="inlineStr">
        <is>
          <t>Promotional period</t>
        </is>
      </c>
    </row>
    <row r="112">
      <c r="A112" s="2" t="inlineStr">
        <is>
          <t>SKU-008</t>
        </is>
      </c>
      <c r="B112" s="2" t="inlineStr">
        <is>
          <t>Thermal Cam</t>
        </is>
      </c>
      <c r="C112" s="2" t="inlineStr">
        <is>
          <t>Bullet</t>
        </is>
      </c>
      <c r="D112" s="2" t="inlineStr">
        <is>
          <t>2MP</t>
        </is>
      </c>
      <c r="E112" s="2" t="inlineStr">
        <is>
          <t>Thermal</t>
        </is>
      </c>
      <c r="F112" s="2" t="inlineStr">
        <is>
          <t>Outdoor</t>
        </is>
      </c>
      <c r="G112" s="2" t="inlineStr">
        <is>
          <t>IP67</t>
        </is>
      </c>
      <c r="H112" s="3" t="n">
        <v>2616</v>
      </c>
      <c r="I112" s="4" t="n">
        <v>2037.86</v>
      </c>
      <c r="J112" s="5" t="n">
        <v>0.221</v>
      </c>
      <c r="K112" s="4" t="n">
        <v>578.14</v>
      </c>
      <c r="L112" s="2" t="inlineStr">
        <is>
          <t>Loyalty</t>
        </is>
      </c>
      <c r="M112" s="4" t="n">
        <v>2037.86</v>
      </c>
      <c r="N112" s="3" t="n">
        <v>1144.83</v>
      </c>
      <c r="O112" s="3" t="n">
        <v>123.87</v>
      </c>
      <c r="P112" s="3" t="n">
        <v>52.55</v>
      </c>
      <c r="Q112" s="4" t="n">
        <v>1321.25</v>
      </c>
      <c r="R112" s="4">
        <f>M112-Q112</f>
        <v/>
      </c>
      <c r="S112" s="5">
        <f>IF(M112=0,"-",(R112/M112))</f>
        <v/>
      </c>
      <c r="T112" s="6" t="n">
        <v>40</v>
      </c>
      <c r="U112" s="4">
        <f>M112*T112</f>
        <v/>
      </c>
      <c r="V112" s="4">
        <f>Q112*T112</f>
        <v/>
      </c>
      <c r="W112" s="4">
        <f>U112-V112</f>
        <v/>
      </c>
      <c r="X112" s="2" t="inlineStr">
        <is>
          <t>Harbour Trust</t>
        </is>
      </c>
      <c r="Y112" s="2" t="inlineStr">
        <is>
          <t>End User</t>
        </is>
      </c>
      <c r="Z112" s="2" t="inlineStr">
        <is>
          <t>Hospital Perimeter Security</t>
        </is>
      </c>
      <c r="AA112" s="2" t="inlineStr">
        <is>
          <t>Transport</t>
        </is>
      </c>
      <c r="AB112" s="2" t="inlineStr">
        <is>
          <t>Vietnam</t>
        </is>
      </c>
      <c r="AC112" s="2" t="inlineStr">
        <is>
          <t>Online</t>
        </is>
      </c>
      <c r="AD112" s="2" t="n">
        <v>2023</v>
      </c>
      <c r="AE112" s="2" t="inlineStr">
        <is>
          <t>Bundle</t>
        </is>
      </c>
      <c r="AF112" s="2" t="n">
        <v>12</v>
      </c>
      <c r="AG112" s="2" t="inlineStr">
        <is>
          <t>Gen 2</t>
        </is>
      </c>
      <c r="AH112" s="3" t="n">
        <v>2144.49</v>
      </c>
      <c r="AI112" s="4" t="n">
        <v>-106.63</v>
      </c>
      <c r="AJ112" s="2" t="inlineStr">
        <is>
          <t>End-of-life stock</t>
        </is>
      </c>
    </row>
    <row r="113">
      <c r="A113" s="7" t="inlineStr">
        <is>
          <t>SKU-004</t>
        </is>
      </c>
      <c r="B113" s="7" t="inlineStr">
        <is>
          <t>Bullet Cam 4MP AI</t>
        </is>
      </c>
      <c r="C113" s="7" t="inlineStr">
        <is>
          <t>Bullet</t>
        </is>
      </c>
      <c r="D113" s="7" t="inlineStr">
        <is>
          <t>4MP</t>
        </is>
      </c>
      <c r="E113" s="7" t="inlineStr">
        <is>
          <t>AI-enabled</t>
        </is>
      </c>
      <c r="F113" s="7" t="inlineStr">
        <is>
          <t>Outdoor</t>
        </is>
      </c>
      <c r="G113" s="7" t="inlineStr">
        <is>
          <t>IP67</t>
        </is>
      </c>
      <c r="H113" s="8" t="n">
        <v>523.2</v>
      </c>
      <c r="I113" s="9" t="n">
        <v>496.73</v>
      </c>
      <c r="J113" s="10" t="n">
        <v>0.0506</v>
      </c>
      <c r="K113" s="9" t="n">
        <v>26.47</v>
      </c>
      <c r="L113" s="7" t="inlineStr">
        <is>
          <t>Volume</t>
        </is>
      </c>
      <c r="M113" s="9" t="n">
        <v>496.73</v>
      </c>
      <c r="N113" s="8" t="n">
        <v>231.52</v>
      </c>
      <c r="O113" s="8" t="n">
        <v>21.96</v>
      </c>
      <c r="P113" s="8" t="n">
        <v>11.48</v>
      </c>
      <c r="Q113" s="9" t="n">
        <v>264.96</v>
      </c>
      <c r="R113" s="9">
        <f>M113-Q113</f>
        <v/>
      </c>
      <c r="S113" s="10">
        <f>IF(M113=0,"-",(R113/M113))</f>
        <v/>
      </c>
      <c r="T113" s="11" t="n">
        <v>76</v>
      </c>
      <c r="U113" s="9">
        <f>M113*T113</f>
        <v/>
      </c>
      <c r="V113" s="9">
        <f>Q113*T113</f>
        <v/>
      </c>
      <c r="W113" s="9">
        <f>U113-V113</f>
        <v/>
      </c>
      <c r="X113" s="7" t="inlineStr">
        <is>
          <t>Metro Retail Group</t>
        </is>
      </c>
      <c r="Y113" s="7" t="inlineStr">
        <is>
          <t>End User</t>
        </is>
      </c>
      <c r="Z113" s="7" t="inlineStr">
        <is>
          <t>CBD Traffic Surveillance</t>
        </is>
      </c>
      <c r="AA113" s="7" t="inlineStr">
        <is>
          <t>Retail</t>
        </is>
      </c>
      <c r="AB113" s="7" t="inlineStr">
        <is>
          <t>Singapore</t>
        </is>
      </c>
      <c r="AC113" s="7" t="inlineStr">
        <is>
          <t>Distribution</t>
        </is>
      </c>
      <c r="AD113" s="7" t="n">
        <v>2023</v>
      </c>
      <c r="AE113" s="7" t="inlineStr">
        <is>
          <t>Standalone</t>
        </is>
      </c>
      <c r="AF113" s="7" t="n">
        <v>12</v>
      </c>
      <c r="AG113" s="7" t="inlineStr">
        <is>
          <t>Gen 2</t>
        </is>
      </c>
      <c r="AH113" s="8" t="n">
        <v>428.24</v>
      </c>
      <c r="AI113" s="9" t="n">
        <v>68.48999999999999</v>
      </c>
      <c r="AJ113" s="7" t="inlineStr"/>
    </row>
    <row r="114">
      <c r="A114" s="2" t="inlineStr">
        <is>
          <t>SKU-010</t>
        </is>
      </c>
      <c r="B114" s="2" t="inlineStr">
        <is>
          <t>Turret Cam 8MP 4K AI</t>
        </is>
      </c>
      <c r="C114" s="2" t="inlineStr">
        <is>
          <t>Turret</t>
        </is>
      </c>
      <c r="D114" s="2" t="inlineStr">
        <is>
          <t>8MP (4K)</t>
        </is>
      </c>
      <c r="E114" s="2" t="inlineStr">
        <is>
          <t>AI-enabled</t>
        </is>
      </c>
      <c r="F114" s="2" t="inlineStr">
        <is>
          <t>Outdoor</t>
        </is>
      </c>
      <c r="G114" s="2" t="inlineStr">
        <is>
          <t>IP66</t>
        </is>
      </c>
      <c r="H114" s="3" t="n">
        <v>850.2</v>
      </c>
      <c r="I114" s="4" t="n">
        <v>681.27</v>
      </c>
      <c r="J114" s="5" t="n">
        <v>0.1987</v>
      </c>
      <c r="K114" s="4" t="n">
        <v>168.93</v>
      </c>
      <c r="L114" s="2" t="inlineStr">
        <is>
          <t>Project Bid</t>
        </is>
      </c>
      <c r="M114" s="4" t="n">
        <v>681.27</v>
      </c>
      <c r="N114" s="3" t="n">
        <v>376.2</v>
      </c>
      <c r="O114" s="3" t="n">
        <v>29.78</v>
      </c>
      <c r="P114" s="3" t="n">
        <v>19.54</v>
      </c>
      <c r="Q114" s="4" t="n">
        <v>425.52</v>
      </c>
      <c r="R114" s="4">
        <f>M114-Q114</f>
        <v/>
      </c>
      <c r="S114" s="5">
        <f>IF(M114=0,"-",(R114/M114))</f>
        <v/>
      </c>
      <c r="T114" s="6" t="n">
        <v>65</v>
      </c>
      <c r="U114" s="4">
        <f>M114*T114</f>
        <v/>
      </c>
      <c r="V114" s="4">
        <f>Q114*T114</f>
        <v/>
      </c>
      <c r="W114" s="4">
        <f>U114-V114</f>
        <v/>
      </c>
      <c r="X114" s="2" t="inlineStr">
        <is>
          <t>SmartBuild Integrators</t>
        </is>
      </c>
      <c r="Y114" s="2" t="inlineStr">
        <is>
          <t>System Integrator</t>
        </is>
      </c>
      <c r="Z114" s="2" t="inlineStr">
        <is>
          <t>Hospital Perimeter Security</t>
        </is>
      </c>
      <c r="AA114" s="2" t="inlineStr">
        <is>
          <t>Industrial</t>
        </is>
      </c>
      <c r="AB114" s="2" t="inlineStr">
        <is>
          <t>Vietnam</t>
        </is>
      </c>
      <c r="AC114" s="2" t="inlineStr">
        <is>
          <t>Direct</t>
        </is>
      </c>
      <c r="AD114" s="2" t="n">
        <v>2023</v>
      </c>
      <c r="AE114" s="2" t="inlineStr">
        <is>
          <t>Bundle</t>
        </is>
      </c>
      <c r="AF114" s="2" t="n">
        <v>12</v>
      </c>
      <c r="AG114" s="2" t="inlineStr">
        <is>
          <t>Gen 2</t>
        </is>
      </c>
      <c r="AH114" s="3" t="n">
        <v>770.86</v>
      </c>
      <c r="AI114" s="4" t="n">
        <v>-89.59</v>
      </c>
      <c r="AJ114" s="2" t="inlineStr">
        <is>
          <t>Rush order</t>
        </is>
      </c>
    </row>
    <row r="115">
      <c r="A115" s="7" t="inlineStr">
        <is>
          <t>SKU-005</t>
        </is>
      </c>
      <c r="B115" s="7" t="inlineStr">
        <is>
          <t>PTZ Cam 4MP</t>
        </is>
      </c>
      <c r="C115" s="7" t="inlineStr">
        <is>
          <t>PTZ</t>
        </is>
      </c>
      <c r="D115" s="7" t="inlineStr">
        <is>
          <t>4MP</t>
        </is>
      </c>
      <c r="E115" s="7" t="inlineStr">
        <is>
          <t>IP</t>
        </is>
      </c>
      <c r="F115" s="7" t="inlineStr">
        <is>
          <t>Outdoor</t>
        </is>
      </c>
      <c r="G115" s="7" t="inlineStr">
        <is>
          <t>IP66</t>
        </is>
      </c>
      <c r="H115" s="8" t="n">
        <v>1035.5</v>
      </c>
      <c r="I115" s="9" t="n">
        <v>909.79</v>
      </c>
      <c r="J115" s="10" t="n">
        <v>0.1214</v>
      </c>
      <c r="K115" s="9" t="n">
        <v>125.71</v>
      </c>
      <c r="L115" s="7" t="inlineStr">
        <is>
          <t>Distributor</t>
        </is>
      </c>
      <c r="M115" s="9" t="n">
        <v>909.79</v>
      </c>
      <c r="N115" s="8" t="n">
        <v>442.15</v>
      </c>
      <c r="O115" s="8" t="n">
        <v>36.48</v>
      </c>
      <c r="P115" s="8" t="n">
        <v>16.36</v>
      </c>
      <c r="Q115" s="9" t="n">
        <v>494.99</v>
      </c>
      <c r="R115" s="9">
        <f>M115-Q115</f>
        <v/>
      </c>
      <c r="S115" s="10">
        <f>IF(M115=0,"-",(R115/M115))</f>
        <v/>
      </c>
      <c r="T115" s="11" t="n">
        <v>20</v>
      </c>
      <c r="U115" s="9">
        <f>M115*T115</f>
        <v/>
      </c>
      <c r="V115" s="9">
        <f>Q115*T115</f>
        <v/>
      </c>
      <c r="W115" s="9">
        <f>U115-V115</f>
        <v/>
      </c>
      <c r="X115" s="7" t="inlineStr">
        <is>
          <t>TechDist Asia</t>
        </is>
      </c>
      <c r="Y115" s="7" t="inlineStr">
        <is>
          <t>Distributor</t>
        </is>
      </c>
      <c r="Z115" s="7" t="inlineStr">
        <is>
          <t>Warehouse Monitoring</t>
        </is>
      </c>
      <c r="AA115" s="7" t="inlineStr">
        <is>
          <t>Transport</t>
        </is>
      </c>
      <c r="AB115" s="7" t="inlineStr">
        <is>
          <t>Philippines</t>
        </is>
      </c>
      <c r="AC115" s="7" t="inlineStr">
        <is>
          <t>Distribution</t>
        </is>
      </c>
      <c r="AD115" s="7" t="n">
        <v>2023</v>
      </c>
      <c r="AE115" s="7" t="inlineStr">
        <is>
          <t>Standalone</t>
        </is>
      </c>
      <c r="AF115" s="7" t="n">
        <v>12</v>
      </c>
      <c r="AG115" s="7" t="inlineStr">
        <is>
          <t>Gen 1</t>
        </is>
      </c>
      <c r="AH115" s="8" t="n">
        <v>867.24</v>
      </c>
      <c r="AI115" s="9" t="n">
        <v>42.55</v>
      </c>
      <c r="AJ115" s="7" t="inlineStr"/>
    </row>
    <row r="116">
      <c r="A116" s="2" t="inlineStr">
        <is>
          <t>SKU-006</t>
        </is>
      </c>
      <c r="B116" s="2" t="inlineStr">
        <is>
          <t>PTZ Cam 8MP 4K</t>
        </is>
      </c>
      <c r="C116" s="2" t="inlineStr">
        <is>
          <t>PTZ</t>
        </is>
      </c>
      <c r="D116" s="2" t="inlineStr">
        <is>
          <t>8MP (4K)</t>
        </is>
      </c>
      <c r="E116" s="2" t="inlineStr">
        <is>
          <t>IP</t>
        </is>
      </c>
      <c r="F116" s="2" t="inlineStr">
        <is>
          <t>Outdoor</t>
        </is>
      </c>
      <c r="G116" s="2" t="inlineStr">
        <is>
          <t>IP67</t>
        </is>
      </c>
      <c r="H116" s="3" t="n">
        <v>1962</v>
      </c>
      <c r="I116" s="4" t="n">
        <v>1787.77</v>
      </c>
      <c r="J116" s="5" t="n">
        <v>0.0888</v>
      </c>
      <c r="K116" s="4" t="n">
        <v>174.23</v>
      </c>
      <c r="L116" s="2" t="inlineStr">
        <is>
          <t>Loyalty</t>
        </is>
      </c>
      <c r="M116" s="4" t="n">
        <v>1787.77</v>
      </c>
      <c r="N116" s="3" t="n">
        <v>847.35</v>
      </c>
      <c r="O116" s="3" t="n">
        <v>57.07</v>
      </c>
      <c r="P116" s="3" t="n">
        <v>21.05</v>
      </c>
      <c r="Q116" s="4" t="n">
        <v>925.47</v>
      </c>
      <c r="R116" s="4">
        <f>M116-Q116</f>
        <v/>
      </c>
      <c r="S116" s="5">
        <f>IF(M116=0,"-",(R116/M116))</f>
        <v/>
      </c>
      <c r="T116" s="6" t="n">
        <v>39</v>
      </c>
      <c r="U116" s="4">
        <f>M116*T116</f>
        <v/>
      </c>
      <c r="V116" s="4">
        <f>Q116*T116</f>
        <v/>
      </c>
      <c r="W116" s="4">
        <f>U116-V116</f>
        <v/>
      </c>
      <c r="X116" s="2" t="inlineStr">
        <is>
          <t>Metro Retail Group</t>
        </is>
      </c>
      <c r="Y116" s="2" t="inlineStr">
        <is>
          <t>End User</t>
        </is>
      </c>
      <c r="Z116" s="2" t="inlineStr">
        <is>
          <t>Smart City Initiative</t>
        </is>
      </c>
      <c r="AA116" s="2" t="inlineStr">
        <is>
          <t>Transport</t>
        </is>
      </c>
      <c r="AB116" s="2" t="inlineStr">
        <is>
          <t>Indonesia</t>
        </is>
      </c>
      <c r="AC116" s="2" t="inlineStr">
        <is>
          <t>Online</t>
        </is>
      </c>
      <c r="AD116" s="2" t="n">
        <v>2023</v>
      </c>
      <c r="AE116" s="2" t="inlineStr">
        <is>
          <t>Bundle</t>
        </is>
      </c>
      <c r="AF116" s="2" t="n">
        <v>24</v>
      </c>
      <c r="AG116" s="2" t="inlineStr">
        <is>
          <t>Gen 1</t>
        </is>
      </c>
      <c r="AH116" s="3" t="n">
        <v>1792.18</v>
      </c>
      <c r="AI116" s="4" t="n">
        <v>-4.41</v>
      </c>
      <c r="AJ116" s="2" t="inlineStr">
        <is>
          <t>Rush order</t>
        </is>
      </c>
    </row>
    <row r="117">
      <c r="A117" s="7" t="inlineStr">
        <is>
          <t>SKU-007</t>
        </is>
      </c>
      <c r="B117" s="7" t="inlineStr">
        <is>
          <t>Fisheye Cam 4MP</t>
        </is>
      </c>
      <c r="C117" s="7" t="inlineStr">
        <is>
          <t>Fisheye</t>
        </is>
      </c>
      <c r="D117" s="7" t="inlineStr">
        <is>
          <t>4MP</t>
        </is>
      </c>
      <c r="E117" s="7" t="inlineStr">
        <is>
          <t>IP</t>
        </is>
      </c>
      <c r="F117" s="7" t="inlineStr">
        <is>
          <t>Indoor</t>
        </is>
      </c>
      <c r="G117" s="7" t="inlineStr">
        <is>
          <t>IP65</t>
        </is>
      </c>
      <c r="H117" s="8" t="n">
        <v>675.8</v>
      </c>
      <c r="I117" s="9" t="n">
        <v>586.12</v>
      </c>
      <c r="J117" s="10" t="n">
        <v>0.1327</v>
      </c>
      <c r="K117" s="9" t="n">
        <v>89.68000000000001</v>
      </c>
      <c r="L117" s="7" t="inlineStr">
        <is>
          <t>Distributor</t>
        </is>
      </c>
      <c r="M117" s="9" t="n">
        <v>586.12</v>
      </c>
      <c r="N117" s="8" t="n">
        <v>308.9</v>
      </c>
      <c r="O117" s="8" t="n">
        <v>34.45</v>
      </c>
      <c r="P117" s="8" t="n">
        <v>13.86</v>
      </c>
      <c r="Q117" s="9" t="n">
        <v>357.21</v>
      </c>
      <c r="R117" s="9">
        <f>M117-Q117</f>
        <v/>
      </c>
      <c r="S117" s="10">
        <f>IF(M117=0,"-",(R117/M117))</f>
        <v/>
      </c>
      <c r="T117" s="11" t="n">
        <v>13</v>
      </c>
      <c r="U117" s="9">
        <f>M117*T117</f>
        <v/>
      </c>
      <c r="V117" s="9">
        <f>Q117*T117</f>
        <v/>
      </c>
      <c r="W117" s="9">
        <f>U117-V117</f>
        <v/>
      </c>
      <c r="X117" s="7" t="inlineStr">
        <is>
          <t>Changi Airport Group</t>
        </is>
      </c>
      <c r="Y117" s="7" t="inlineStr">
        <is>
          <t>End User</t>
        </is>
      </c>
      <c r="Z117" s="7" t="inlineStr">
        <is>
          <t>Mall Security Rollout</t>
        </is>
      </c>
      <c r="AA117" s="7" t="inlineStr">
        <is>
          <t>Industrial</t>
        </is>
      </c>
      <c r="AB117" s="7" t="inlineStr">
        <is>
          <t>Indonesia</t>
        </is>
      </c>
      <c r="AC117" s="7" t="inlineStr">
        <is>
          <t>Online</t>
        </is>
      </c>
      <c r="AD117" s="7" t="n">
        <v>2023</v>
      </c>
      <c r="AE117" s="7" t="inlineStr">
        <is>
          <t>Bundle</t>
        </is>
      </c>
      <c r="AF117" s="7" t="n">
        <v>12</v>
      </c>
      <c r="AG117" s="7" t="inlineStr">
        <is>
          <t>Gen 2</t>
        </is>
      </c>
      <c r="AH117" s="8" t="n">
        <v>617.29</v>
      </c>
      <c r="AI117" s="9" t="n">
        <v>-31.17</v>
      </c>
      <c r="AJ117" s="7" t="inlineStr">
        <is>
          <t>Rush order</t>
        </is>
      </c>
    </row>
    <row r="118">
      <c r="A118" s="2" t="inlineStr">
        <is>
          <t>SKU-008</t>
        </is>
      </c>
      <c r="B118" s="2" t="inlineStr">
        <is>
          <t>Thermal Cam</t>
        </is>
      </c>
      <c r="C118" s="2" t="inlineStr">
        <is>
          <t>Bullet</t>
        </is>
      </c>
      <c r="D118" s="2" t="inlineStr">
        <is>
          <t>2MP</t>
        </is>
      </c>
      <c r="E118" s="2" t="inlineStr">
        <is>
          <t>Thermal</t>
        </is>
      </c>
      <c r="F118" s="2" t="inlineStr">
        <is>
          <t>Outdoor</t>
        </is>
      </c>
      <c r="G118" s="2" t="inlineStr">
        <is>
          <t>IP67</t>
        </is>
      </c>
      <c r="H118" s="3" t="n">
        <v>2616</v>
      </c>
      <c r="I118" s="4" t="n">
        <v>2532.81</v>
      </c>
      <c r="J118" s="5" t="n">
        <v>0.0318</v>
      </c>
      <c r="K118" s="4" t="n">
        <v>83.19</v>
      </c>
      <c r="L118" s="2" t="inlineStr">
        <is>
          <t>Project Bid</t>
        </is>
      </c>
      <c r="M118" s="4" t="n">
        <v>2532.81</v>
      </c>
      <c r="N118" s="3" t="n">
        <v>1119.98</v>
      </c>
      <c r="O118" s="3" t="n">
        <v>64.43000000000001</v>
      </c>
      <c r="P118" s="3" t="n">
        <v>29.9</v>
      </c>
      <c r="Q118" s="4" t="n">
        <v>1214.31</v>
      </c>
      <c r="R118" s="4">
        <f>M118-Q118</f>
        <v/>
      </c>
      <c r="S118" s="5">
        <f>IF(M118=0,"-",(R118/M118))</f>
        <v/>
      </c>
      <c r="T118" s="6" t="n">
        <v>35</v>
      </c>
      <c r="U118" s="4">
        <f>M118*T118</f>
        <v/>
      </c>
      <c r="V118" s="4">
        <f>Q118*T118</f>
        <v/>
      </c>
      <c r="W118" s="4">
        <f>U118-V118</f>
        <v/>
      </c>
      <c r="X118" s="2" t="inlineStr">
        <is>
          <t>Changi Airport Group</t>
        </is>
      </c>
      <c r="Y118" s="2" t="inlineStr">
        <is>
          <t>End User</t>
        </is>
      </c>
      <c r="Z118" s="2" t="inlineStr">
        <is>
          <t>Port Authority Monitoring</t>
        </is>
      </c>
      <c r="AA118" s="2" t="inlineStr">
        <is>
          <t>Education</t>
        </is>
      </c>
      <c r="AB118" s="2" t="inlineStr">
        <is>
          <t>Indonesia</t>
        </is>
      </c>
      <c r="AC118" s="2" t="inlineStr">
        <is>
          <t>Direct</t>
        </is>
      </c>
      <c r="AD118" s="2" t="n">
        <v>2023</v>
      </c>
      <c r="AE118" s="2" t="inlineStr">
        <is>
          <t>Standalone</t>
        </is>
      </c>
      <c r="AF118" s="2" t="n">
        <v>24</v>
      </c>
      <c r="AG118" s="2" t="inlineStr">
        <is>
          <t>Gen 2</t>
        </is>
      </c>
      <c r="AH118" s="3" t="n">
        <v>2321.18</v>
      </c>
      <c r="AI118" s="4" t="n">
        <v>211.63</v>
      </c>
      <c r="AJ118" s="2" t="inlineStr">
        <is>
          <t>Promotional period</t>
        </is>
      </c>
    </row>
    <row r="119">
      <c r="A119" s="7" t="inlineStr">
        <is>
          <t>SKU-006</t>
        </is>
      </c>
      <c r="B119" s="7" t="inlineStr">
        <is>
          <t>PTZ Cam 8MP 4K</t>
        </is>
      </c>
      <c r="C119" s="7" t="inlineStr">
        <is>
          <t>PTZ</t>
        </is>
      </c>
      <c r="D119" s="7" t="inlineStr">
        <is>
          <t>8MP (4K)</t>
        </is>
      </c>
      <c r="E119" s="7" t="inlineStr">
        <is>
          <t>IP</t>
        </is>
      </c>
      <c r="F119" s="7" t="inlineStr">
        <is>
          <t>Outdoor</t>
        </is>
      </c>
      <c r="G119" s="7" t="inlineStr">
        <is>
          <t>IP67</t>
        </is>
      </c>
      <c r="H119" s="8" t="n">
        <v>1962</v>
      </c>
      <c r="I119" s="9" t="n">
        <v>1685.55</v>
      </c>
      <c r="J119" s="10" t="n">
        <v>0.1409</v>
      </c>
      <c r="K119" s="9" t="n">
        <v>276.45</v>
      </c>
      <c r="L119" s="7" t="inlineStr">
        <is>
          <t>Volume</t>
        </is>
      </c>
      <c r="M119" s="9" t="n">
        <v>1685.55</v>
      </c>
      <c r="N119" s="8" t="n">
        <v>813.9400000000001</v>
      </c>
      <c r="O119" s="8" t="n">
        <v>84.25</v>
      </c>
      <c r="P119" s="8" t="n">
        <v>27.66</v>
      </c>
      <c r="Q119" s="9" t="n">
        <v>925.85</v>
      </c>
      <c r="R119" s="9">
        <f>M119-Q119</f>
        <v/>
      </c>
      <c r="S119" s="10">
        <f>IF(M119=0,"-",(R119/M119))</f>
        <v/>
      </c>
      <c r="T119" s="11" t="n">
        <v>80</v>
      </c>
      <c r="U119" s="9">
        <f>M119*T119</f>
        <v/>
      </c>
      <c r="V119" s="9">
        <f>Q119*T119</f>
        <v/>
      </c>
      <c r="W119" s="9">
        <f>U119-V119</f>
        <v/>
      </c>
      <c r="X119" s="7" t="inlineStr">
        <is>
          <t>SecureVision Pte Ltd</t>
        </is>
      </c>
      <c r="Y119" s="7" t="inlineStr">
        <is>
          <t>System Integrator</t>
        </is>
      </c>
      <c r="Z119" s="7" t="inlineStr">
        <is>
          <t>Smart City Initiative</t>
        </is>
      </c>
      <c r="AA119" s="7" t="inlineStr">
        <is>
          <t>Government</t>
        </is>
      </c>
      <c r="AB119" s="7" t="inlineStr">
        <is>
          <t>Vietnam</t>
        </is>
      </c>
      <c r="AC119" s="7" t="inlineStr">
        <is>
          <t>Online</t>
        </is>
      </c>
      <c r="AD119" s="7" t="n">
        <v>2023</v>
      </c>
      <c r="AE119" s="7" t="inlineStr">
        <is>
          <t>Standalone</t>
        </is>
      </c>
      <c r="AF119" s="7" t="n">
        <v>36</v>
      </c>
      <c r="AG119" s="7" t="inlineStr">
        <is>
          <t>Gen 2</t>
        </is>
      </c>
      <c r="AH119" s="8" t="n">
        <v>1597.57</v>
      </c>
      <c r="AI119" s="9" t="n">
        <v>87.98</v>
      </c>
      <c r="AJ119" s="7" t="inlineStr">
        <is>
          <t>Standard deal</t>
        </is>
      </c>
    </row>
    <row r="120">
      <c r="A120" s="2" t="inlineStr">
        <is>
          <t>SKU-007</t>
        </is>
      </c>
      <c r="B120" s="2" t="inlineStr">
        <is>
          <t>Fisheye Cam 4MP</t>
        </is>
      </c>
      <c r="C120" s="2" t="inlineStr">
        <is>
          <t>Fisheye</t>
        </is>
      </c>
      <c r="D120" s="2" t="inlineStr">
        <is>
          <t>4MP</t>
        </is>
      </c>
      <c r="E120" s="2" t="inlineStr">
        <is>
          <t>IP</t>
        </is>
      </c>
      <c r="F120" s="2" t="inlineStr">
        <is>
          <t>Indoor</t>
        </is>
      </c>
      <c r="G120" s="2" t="inlineStr">
        <is>
          <t>IP65</t>
        </is>
      </c>
      <c r="H120" s="3" t="n">
        <v>675.8</v>
      </c>
      <c r="I120" s="4" t="n">
        <v>635.1799999999999</v>
      </c>
      <c r="J120" s="5" t="n">
        <v>0.0601</v>
      </c>
      <c r="K120" s="4" t="n">
        <v>40.62</v>
      </c>
      <c r="L120" s="2" t="inlineStr">
        <is>
          <t>Volume</t>
        </is>
      </c>
      <c r="M120" s="4" t="n">
        <v>635.1799999999999</v>
      </c>
      <c r="N120" s="3" t="n">
        <v>280.92</v>
      </c>
      <c r="O120" s="3" t="n">
        <v>20.6</v>
      </c>
      <c r="P120" s="3" t="n">
        <v>12.27</v>
      </c>
      <c r="Q120" s="4" t="n">
        <v>313.79</v>
      </c>
      <c r="R120" s="4">
        <f>M120-Q120</f>
        <v/>
      </c>
      <c r="S120" s="5">
        <f>IF(M120=0,"-",(R120/M120))</f>
        <v/>
      </c>
      <c r="T120" s="6" t="n">
        <v>60</v>
      </c>
      <c r="U120" s="4">
        <f>M120*T120</f>
        <v/>
      </c>
      <c r="V120" s="4">
        <f>Q120*T120</f>
        <v/>
      </c>
      <c r="W120" s="4">
        <f>U120-V120</f>
        <v/>
      </c>
      <c r="X120" s="2" t="inlineStr">
        <is>
          <t>Metro Retail Group</t>
        </is>
      </c>
      <c r="Y120" s="2" t="inlineStr">
        <is>
          <t>End User</t>
        </is>
      </c>
      <c r="Z120" s="2" t="inlineStr">
        <is>
          <t>Hospital Perimeter Security</t>
        </is>
      </c>
      <c r="AA120" s="2" t="inlineStr">
        <is>
          <t>Education</t>
        </is>
      </c>
      <c r="AB120" s="2" t="inlineStr">
        <is>
          <t>Indonesia</t>
        </is>
      </c>
      <c r="AC120" s="2" t="inlineStr">
        <is>
          <t>Direct</t>
        </is>
      </c>
      <c r="AD120" s="2" t="n">
        <v>2023</v>
      </c>
      <c r="AE120" s="2" t="inlineStr">
        <is>
          <t>Standalone</t>
        </is>
      </c>
      <c r="AF120" s="2" t="n">
        <v>36</v>
      </c>
      <c r="AG120" s="2" t="inlineStr">
        <is>
          <t>Gen 1</t>
        </is>
      </c>
      <c r="AH120" s="3" t="n">
        <v>552.72</v>
      </c>
      <c r="AI120" s="4" t="n">
        <v>82.45999999999999</v>
      </c>
      <c r="AJ120" s="2" t="inlineStr">
        <is>
          <t>Rush order</t>
        </is>
      </c>
    </row>
    <row r="121">
      <c r="A121" s="7" t="inlineStr">
        <is>
          <t>SKU-003</t>
        </is>
      </c>
      <c r="B121" s="7" t="inlineStr">
        <is>
          <t>Bullet Cam 2MP</t>
        </is>
      </c>
      <c r="C121" s="7" t="inlineStr">
        <is>
          <t>Bullet</t>
        </is>
      </c>
      <c r="D121" s="7" t="inlineStr">
        <is>
          <t>2MP</t>
        </is>
      </c>
      <c r="E121" s="7" t="inlineStr">
        <is>
          <t>Analog</t>
        </is>
      </c>
      <c r="F121" s="7" t="inlineStr">
        <is>
          <t>Outdoor</t>
        </is>
      </c>
      <c r="G121" s="7" t="inlineStr">
        <is>
          <t>IP66</t>
        </is>
      </c>
      <c r="H121" s="8" t="n">
        <v>163.5</v>
      </c>
      <c r="I121" s="9" t="n">
        <v>140.27</v>
      </c>
      <c r="J121" s="10" t="n">
        <v>0.1421</v>
      </c>
      <c r="K121" s="9" t="n">
        <v>23.23</v>
      </c>
      <c r="L121" s="7" t="inlineStr">
        <is>
          <t>Loyalty</t>
        </is>
      </c>
      <c r="M121" s="9" t="n">
        <v>140.27</v>
      </c>
      <c r="N121" s="8" t="n">
        <v>70.90000000000001</v>
      </c>
      <c r="O121" s="8" t="n">
        <v>5.98</v>
      </c>
      <c r="P121" s="8" t="n">
        <v>3.41</v>
      </c>
      <c r="Q121" s="9" t="n">
        <v>80.29000000000001</v>
      </c>
      <c r="R121" s="9">
        <f>M121-Q121</f>
        <v/>
      </c>
      <c r="S121" s="10">
        <f>IF(M121=0,"-",(R121/M121))</f>
        <v/>
      </c>
      <c r="T121" s="11" t="n">
        <v>62</v>
      </c>
      <c r="U121" s="9">
        <f>M121*T121</f>
        <v/>
      </c>
      <c r="V121" s="9">
        <f>Q121*T121</f>
        <v/>
      </c>
      <c r="W121" s="9">
        <f>U121-V121</f>
        <v/>
      </c>
      <c r="X121" s="7" t="inlineStr">
        <is>
          <t>Metro Retail Group</t>
        </is>
      </c>
      <c r="Y121" s="7" t="inlineStr">
        <is>
          <t>End User</t>
        </is>
      </c>
      <c r="Z121" s="7" t="inlineStr">
        <is>
          <t>Public Housing CCTV Program</t>
        </is>
      </c>
      <c r="AA121" s="7" t="inlineStr">
        <is>
          <t>Retail</t>
        </is>
      </c>
      <c r="AB121" s="7" t="inlineStr">
        <is>
          <t>Malaysia</t>
        </is>
      </c>
      <c r="AC121" s="7" t="inlineStr">
        <is>
          <t>Distribution</t>
        </is>
      </c>
      <c r="AD121" s="7" t="n">
        <v>2023</v>
      </c>
      <c r="AE121" s="7" t="inlineStr">
        <is>
          <t>Standalone</t>
        </is>
      </c>
      <c r="AF121" s="7" t="n">
        <v>36</v>
      </c>
      <c r="AG121" s="7" t="inlineStr">
        <is>
          <t>Gen 2</t>
        </is>
      </c>
      <c r="AH121" s="8" t="n">
        <v>146.8</v>
      </c>
      <c r="AI121" s="9" t="n">
        <v>-6.53</v>
      </c>
      <c r="AJ121" s="7" t="inlineStr">
        <is>
          <t>End-of-life stock</t>
        </is>
      </c>
    </row>
    <row r="122">
      <c r="A122" s="2" t="inlineStr">
        <is>
          <t>SKU-006</t>
        </is>
      </c>
      <c r="B122" s="2" t="inlineStr">
        <is>
          <t>PTZ Cam 8MP 4K</t>
        </is>
      </c>
      <c r="C122" s="2" t="inlineStr">
        <is>
          <t>PTZ</t>
        </is>
      </c>
      <c r="D122" s="2" t="inlineStr">
        <is>
          <t>8MP (4K)</t>
        </is>
      </c>
      <c r="E122" s="2" t="inlineStr">
        <is>
          <t>IP</t>
        </is>
      </c>
      <c r="F122" s="2" t="inlineStr">
        <is>
          <t>Outdoor</t>
        </is>
      </c>
      <c r="G122" s="2" t="inlineStr">
        <is>
          <t>IP67</t>
        </is>
      </c>
      <c r="H122" s="3" t="n">
        <v>1962</v>
      </c>
      <c r="I122" s="4" t="n">
        <v>1651.22</v>
      </c>
      <c r="J122" s="5" t="n">
        <v>0.1584</v>
      </c>
      <c r="K122" s="4" t="n">
        <v>310.78</v>
      </c>
      <c r="L122" s="2" t="inlineStr">
        <is>
          <t>Project Bid</t>
        </is>
      </c>
      <c r="M122" s="4" t="n">
        <v>1651.22</v>
      </c>
      <c r="N122" s="3" t="n">
        <v>869.02</v>
      </c>
      <c r="O122" s="3" t="n">
        <v>53.82</v>
      </c>
      <c r="P122" s="3" t="n">
        <v>44.71</v>
      </c>
      <c r="Q122" s="4" t="n">
        <v>967.55</v>
      </c>
      <c r="R122" s="4">
        <f>M122-Q122</f>
        <v/>
      </c>
      <c r="S122" s="5">
        <f>IF(M122=0,"-",(R122/M122))</f>
        <v/>
      </c>
      <c r="T122" s="6" t="n">
        <v>50</v>
      </c>
      <c r="U122" s="4">
        <f>M122*T122</f>
        <v/>
      </c>
      <c r="V122" s="4">
        <f>Q122*T122</f>
        <v/>
      </c>
      <c r="W122" s="4">
        <f>U122-V122</f>
        <v/>
      </c>
      <c r="X122" s="2" t="inlineStr">
        <is>
          <t>SafeCity Solutions</t>
        </is>
      </c>
      <c r="Y122" s="2" t="inlineStr">
        <is>
          <t>System Integrator</t>
        </is>
      </c>
      <c r="Z122" s="2" t="inlineStr">
        <is>
          <t>Smart City Initiative</t>
        </is>
      </c>
      <c r="AA122" s="2" t="inlineStr">
        <is>
          <t>Education</t>
        </is>
      </c>
      <c r="AB122" s="2" t="inlineStr">
        <is>
          <t>Indonesia</t>
        </is>
      </c>
      <c r="AC122" s="2" t="inlineStr">
        <is>
          <t>Online</t>
        </is>
      </c>
      <c r="AD122" s="2" t="n">
        <v>2023</v>
      </c>
      <c r="AE122" s="2" t="inlineStr">
        <is>
          <t>Standalone</t>
        </is>
      </c>
      <c r="AF122" s="2" t="n">
        <v>24</v>
      </c>
      <c r="AG122" s="2" t="inlineStr">
        <is>
          <t>Gen 1</t>
        </is>
      </c>
      <c r="AH122" s="3" t="n">
        <v>1604.39</v>
      </c>
      <c r="AI122" s="4" t="n">
        <v>46.83</v>
      </c>
      <c r="AJ122" s="2" t="inlineStr"/>
    </row>
    <row r="123">
      <c r="A123" s="7" t="inlineStr">
        <is>
          <t>SKU-004</t>
        </is>
      </c>
      <c r="B123" s="7" t="inlineStr">
        <is>
          <t>Bullet Cam 4MP AI</t>
        </is>
      </c>
      <c r="C123" s="7" t="inlineStr">
        <is>
          <t>Bullet</t>
        </is>
      </c>
      <c r="D123" s="7" t="inlineStr">
        <is>
          <t>4MP</t>
        </is>
      </c>
      <c r="E123" s="7" t="inlineStr">
        <is>
          <t>AI-enabled</t>
        </is>
      </c>
      <c r="F123" s="7" t="inlineStr">
        <is>
          <t>Outdoor</t>
        </is>
      </c>
      <c r="G123" s="7" t="inlineStr">
        <is>
          <t>IP67</t>
        </is>
      </c>
      <c r="H123" s="8" t="n">
        <v>523.2</v>
      </c>
      <c r="I123" s="9" t="n">
        <v>428.03</v>
      </c>
      <c r="J123" s="10" t="n">
        <v>0.1819</v>
      </c>
      <c r="K123" s="9" t="n">
        <v>95.17</v>
      </c>
      <c r="L123" s="7" t="inlineStr">
        <is>
          <t>Project Bid</t>
        </is>
      </c>
      <c r="M123" s="9" t="n">
        <v>428.03</v>
      </c>
      <c r="N123" s="8" t="n">
        <v>220.92</v>
      </c>
      <c r="O123" s="8" t="n">
        <v>17.39</v>
      </c>
      <c r="P123" s="8" t="n">
        <v>12.98</v>
      </c>
      <c r="Q123" s="9" t="n">
        <v>251.29</v>
      </c>
      <c r="R123" s="9">
        <f>M123-Q123</f>
        <v/>
      </c>
      <c r="S123" s="10">
        <f>IF(M123=0,"-",(R123/M123))</f>
        <v/>
      </c>
      <c r="T123" s="11" t="n">
        <v>62</v>
      </c>
      <c r="U123" s="9">
        <f>M123*T123</f>
        <v/>
      </c>
      <c r="V123" s="9">
        <f>Q123*T123</f>
        <v/>
      </c>
      <c r="W123" s="9">
        <f>U123-V123</f>
        <v/>
      </c>
      <c r="X123" s="7" t="inlineStr">
        <is>
          <t>SecureVision Pte Ltd</t>
        </is>
      </c>
      <c r="Y123" s="7" t="inlineStr">
        <is>
          <t>System Integrator</t>
        </is>
      </c>
      <c r="Z123" s="7" t="inlineStr">
        <is>
          <t>Public Housing CCTV Program</t>
        </is>
      </c>
      <c r="AA123" s="7" t="inlineStr">
        <is>
          <t>Commercial</t>
        </is>
      </c>
      <c r="AB123" s="7" t="inlineStr">
        <is>
          <t>Singapore</t>
        </is>
      </c>
      <c r="AC123" s="7" t="inlineStr">
        <is>
          <t>Direct</t>
        </is>
      </c>
      <c r="AD123" s="7" t="n">
        <v>2023</v>
      </c>
      <c r="AE123" s="7" t="inlineStr">
        <is>
          <t>Standalone</t>
        </is>
      </c>
      <c r="AF123" s="7" t="n">
        <v>24</v>
      </c>
      <c r="AG123" s="7" t="inlineStr">
        <is>
          <t>Gen 2</t>
        </is>
      </c>
      <c r="AH123" s="8" t="n">
        <v>473.36</v>
      </c>
      <c r="AI123" s="9" t="n">
        <v>-45.33</v>
      </c>
      <c r="AJ123" s="7" t="inlineStr"/>
    </row>
    <row r="124">
      <c r="A124" s="2" t="inlineStr">
        <is>
          <t>SKU-001</t>
        </is>
      </c>
      <c r="B124" s="2" t="inlineStr">
        <is>
          <t>Dome Cam 2MP Indoor</t>
        </is>
      </c>
      <c r="C124" s="2" t="inlineStr">
        <is>
          <t>Dome</t>
        </is>
      </c>
      <c r="D124" s="2" t="inlineStr">
        <is>
          <t>2MP</t>
        </is>
      </c>
      <c r="E124" s="2" t="inlineStr">
        <is>
          <t>IP</t>
        </is>
      </c>
      <c r="F124" s="2" t="inlineStr">
        <is>
          <t>Indoor</t>
        </is>
      </c>
      <c r="G124" s="2" t="inlineStr">
        <is>
          <t>IP65</t>
        </is>
      </c>
      <c r="H124" s="3" t="n">
        <v>196.2</v>
      </c>
      <c r="I124" s="4" t="n">
        <v>167.3</v>
      </c>
      <c r="J124" s="5" t="n">
        <v>0.1473</v>
      </c>
      <c r="K124" s="4" t="n">
        <v>28.9</v>
      </c>
      <c r="L124" s="2" t="inlineStr">
        <is>
          <t>Tender</t>
        </is>
      </c>
      <c r="M124" s="4" t="n">
        <v>167.3</v>
      </c>
      <c r="N124" s="3" t="n">
        <v>86.84999999999999</v>
      </c>
      <c r="O124" s="3" t="n">
        <v>7.66</v>
      </c>
      <c r="P124" s="3" t="n">
        <v>4.67</v>
      </c>
      <c r="Q124" s="4" t="n">
        <v>99.18000000000001</v>
      </c>
      <c r="R124" s="4">
        <f>M124-Q124</f>
        <v/>
      </c>
      <c r="S124" s="5">
        <f>IF(M124=0,"-",(R124/M124))</f>
        <v/>
      </c>
      <c r="T124" s="6" t="n">
        <v>35</v>
      </c>
      <c r="U124" s="4">
        <f>M124*T124</f>
        <v/>
      </c>
      <c r="V124" s="4">
        <f>Q124*T124</f>
        <v/>
      </c>
      <c r="W124" s="4">
        <f>U124-V124</f>
        <v/>
      </c>
      <c r="X124" s="2" t="inlineStr">
        <is>
          <t>GovTech Singapore</t>
        </is>
      </c>
      <c r="Y124" s="2" t="inlineStr">
        <is>
          <t>End User</t>
        </is>
      </c>
      <c r="Z124" s="2" t="inlineStr">
        <is>
          <t>CBD Traffic Surveillance</t>
        </is>
      </c>
      <c r="AA124" s="2" t="inlineStr">
        <is>
          <t>Transport</t>
        </is>
      </c>
      <c r="AB124" s="2" t="inlineStr">
        <is>
          <t>Vietnam</t>
        </is>
      </c>
      <c r="AC124" s="2" t="inlineStr">
        <is>
          <t>Distribution</t>
        </is>
      </c>
      <c r="AD124" s="2" t="n">
        <v>2023</v>
      </c>
      <c r="AE124" s="2" t="inlineStr">
        <is>
          <t>Standalone</t>
        </is>
      </c>
      <c r="AF124" s="2" t="n">
        <v>24</v>
      </c>
      <c r="AG124" s="2" t="inlineStr">
        <is>
          <t>Gen 1</t>
        </is>
      </c>
      <c r="AH124" s="3" t="n">
        <v>171.32</v>
      </c>
      <c r="AI124" s="4" t="n">
        <v>-4.02</v>
      </c>
      <c r="AJ124" s="2" t="inlineStr">
        <is>
          <t>Matched quote</t>
        </is>
      </c>
    </row>
    <row r="125">
      <c r="A125" s="7" t="inlineStr">
        <is>
          <t>SKU-004</t>
        </is>
      </c>
      <c r="B125" s="7" t="inlineStr">
        <is>
          <t>Bullet Cam 4MP AI</t>
        </is>
      </c>
      <c r="C125" s="7" t="inlineStr">
        <is>
          <t>Bullet</t>
        </is>
      </c>
      <c r="D125" s="7" t="inlineStr">
        <is>
          <t>4MP</t>
        </is>
      </c>
      <c r="E125" s="7" t="inlineStr">
        <is>
          <t>AI-enabled</t>
        </is>
      </c>
      <c r="F125" s="7" t="inlineStr">
        <is>
          <t>Outdoor</t>
        </is>
      </c>
      <c r="G125" s="7" t="inlineStr">
        <is>
          <t>IP67</t>
        </is>
      </c>
      <c r="H125" s="8" t="n">
        <v>523.2</v>
      </c>
      <c r="I125" s="9" t="n">
        <v>467.37</v>
      </c>
      <c r="J125" s="10" t="n">
        <v>0.1067</v>
      </c>
      <c r="K125" s="9" t="n">
        <v>55.83</v>
      </c>
      <c r="L125" s="7" t="inlineStr">
        <is>
          <t>Distributor</t>
        </is>
      </c>
      <c r="M125" s="9" t="n">
        <v>467.37</v>
      </c>
      <c r="N125" s="8" t="n">
        <v>224.71</v>
      </c>
      <c r="O125" s="8" t="n">
        <v>25.92</v>
      </c>
      <c r="P125" s="8" t="n">
        <v>13.43</v>
      </c>
      <c r="Q125" s="9" t="n">
        <v>264.06</v>
      </c>
      <c r="R125" s="9">
        <f>M125-Q125</f>
        <v/>
      </c>
      <c r="S125" s="10">
        <f>IF(M125=0,"-",(R125/M125))</f>
        <v/>
      </c>
      <c r="T125" s="11" t="n">
        <v>37</v>
      </c>
      <c r="U125" s="9">
        <f>M125*T125</f>
        <v/>
      </c>
      <c r="V125" s="9">
        <f>Q125*T125</f>
        <v/>
      </c>
      <c r="W125" s="9">
        <f>U125-V125</f>
        <v/>
      </c>
      <c r="X125" s="7" t="inlineStr">
        <is>
          <t>TechDist Asia</t>
        </is>
      </c>
      <c r="Y125" s="7" t="inlineStr">
        <is>
          <t>Distributor</t>
        </is>
      </c>
      <c r="Z125" s="7" t="inlineStr">
        <is>
          <t>CBD Traffic Surveillance</t>
        </is>
      </c>
      <c r="AA125" s="7" t="inlineStr">
        <is>
          <t>Retail</t>
        </is>
      </c>
      <c r="AB125" s="7" t="inlineStr">
        <is>
          <t>Malaysia</t>
        </is>
      </c>
      <c r="AC125" s="7" t="inlineStr">
        <is>
          <t>Distribution</t>
        </is>
      </c>
      <c r="AD125" s="7" t="n">
        <v>2023</v>
      </c>
      <c r="AE125" s="7" t="inlineStr">
        <is>
          <t>Bundle</t>
        </is>
      </c>
      <c r="AF125" s="7" t="n">
        <v>36</v>
      </c>
      <c r="AG125" s="7" t="inlineStr">
        <is>
          <t>Gen 2</t>
        </is>
      </c>
      <c r="AH125" s="8" t="n">
        <v>436.63</v>
      </c>
      <c r="AI125" s="9" t="n">
        <v>30.74</v>
      </c>
      <c r="AJ125" s="7" t="inlineStr">
        <is>
          <t>Rush order</t>
        </is>
      </c>
    </row>
    <row r="126">
      <c r="A126" s="2" t="inlineStr">
        <is>
          <t>SKU-009</t>
        </is>
      </c>
      <c r="B126" s="2" t="inlineStr">
        <is>
          <t>Turret Cam 4MP</t>
        </is>
      </c>
      <c r="C126" s="2" t="inlineStr">
        <is>
          <t>Turret</t>
        </is>
      </c>
      <c r="D126" s="2" t="inlineStr">
        <is>
          <t>4MP</t>
        </is>
      </c>
      <c r="E126" s="2" t="inlineStr">
        <is>
          <t>IP</t>
        </is>
      </c>
      <c r="F126" s="2" t="inlineStr">
        <is>
          <t>Indoor</t>
        </is>
      </c>
      <c r="G126" s="2" t="inlineStr">
        <is>
          <t>IP65</t>
        </is>
      </c>
      <c r="H126" s="3" t="n">
        <v>316.1</v>
      </c>
      <c r="I126" s="4" t="n">
        <v>275.86</v>
      </c>
      <c r="J126" s="5" t="n">
        <v>0.1273</v>
      </c>
      <c r="K126" s="4" t="n">
        <v>40.24</v>
      </c>
      <c r="L126" s="2" t="inlineStr">
        <is>
          <t>Distributor</t>
        </is>
      </c>
      <c r="M126" s="4" t="n">
        <v>275.86</v>
      </c>
      <c r="N126" s="3" t="n">
        <v>134.16</v>
      </c>
      <c r="O126" s="3" t="n">
        <v>9.119999999999999</v>
      </c>
      <c r="P126" s="3" t="n">
        <v>5.9</v>
      </c>
      <c r="Q126" s="4" t="n">
        <v>149.18</v>
      </c>
      <c r="R126" s="4">
        <f>M126-Q126</f>
        <v/>
      </c>
      <c r="S126" s="5">
        <f>IF(M126=0,"-",(R126/M126))</f>
        <v/>
      </c>
      <c r="T126" s="6" t="n">
        <v>27</v>
      </c>
      <c r="U126" s="4">
        <f>M126*T126</f>
        <v/>
      </c>
      <c r="V126" s="4">
        <f>Q126*T126</f>
        <v/>
      </c>
      <c r="W126" s="4">
        <f>U126-V126</f>
        <v/>
      </c>
      <c r="X126" s="2" t="inlineStr">
        <is>
          <t>SkyNet Resellers</t>
        </is>
      </c>
      <c r="Y126" s="2" t="inlineStr">
        <is>
          <t>Reseller</t>
        </is>
      </c>
      <c r="Z126" s="2" t="inlineStr">
        <is>
          <t>Smart City Initiative</t>
        </is>
      </c>
      <c r="AA126" s="2" t="inlineStr">
        <is>
          <t>Industrial</t>
        </is>
      </c>
      <c r="AB126" s="2" t="inlineStr">
        <is>
          <t>Indonesia</t>
        </is>
      </c>
      <c r="AC126" s="2" t="inlineStr">
        <is>
          <t>Direct</t>
        </is>
      </c>
      <c r="AD126" s="2" t="n">
        <v>2023</v>
      </c>
      <c r="AE126" s="2" t="inlineStr">
        <is>
          <t>Bundle</t>
        </is>
      </c>
      <c r="AF126" s="2" t="n">
        <v>24</v>
      </c>
      <c r="AG126" s="2" t="inlineStr">
        <is>
          <t>Gen 1</t>
        </is>
      </c>
      <c r="AH126" s="3" t="n">
        <v>284.29</v>
      </c>
      <c r="AI126" s="4" t="n">
        <v>-8.43</v>
      </c>
      <c r="AJ126" s="2" t="inlineStr">
        <is>
          <t>End-of-life stock</t>
        </is>
      </c>
    </row>
    <row r="127">
      <c r="A127" s="7" t="inlineStr">
        <is>
          <t>SKU-009</t>
        </is>
      </c>
      <c r="B127" s="7" t="inlineStr">
        <is>
          <t>Turret Cam 4MP</t>
        </is>
      </c>
      <c r="C127" s="7" t="inlineStr">
        <is>
          <t>Turret</t>
        </is>
      </c>
      <c r="D127" s="7" t="inlineStr">
        <is>
          <t>4MP</t>
        </is>
      </c>
      <c r="E127" s="7" t="inlineStr">
        <is>
          <t>IP</t>
        </is>
      </c>
      <c r="F127" s="7" t="inlineStr">
        <is>
          <t>Indoor</t>
        </is>
      </c>
      <c r="G127" s="7" t="inlineStr">
        <is>
          <t>IP65</t>
        </is>
      </c>
      <c r="H127" s="8" t="n">
        <v>316.1</v>
      </c>
      <c r="I127" s="9" t="n">
        <v>269.7</v>
      </c>
      <c r="J127" s="10" t="n">
        <v>0.1468</v>
      </c>
      <c r="K127" s="9" t="n">
        <v>46.4</v>
      </c>
      <c r="L127" s="7" t="inlineStr">
        <is>
          <t>Loyalty</t>
        </is>
      </c>
      <c r="M127" s="9" t="n">
        <v>269.7</v>
      </c>
      <c r="N127" s="8" t="n">
        <v>138.56</v>
      </c>
      <c r="O127" s="8" t="n">
        <v>13.12</v>
      </c>
      <c r="P127" s="8" t="n">
        <v>3.13</v>
      </c>
      <c r="Q127" s="9" t="n">
        <v>154.81</v>
      </c>
      <c r="R127" s="9">
        <f>M127-Q127</f>
        <v/>
      </c>
      <c r="S127" s="10">
        <f>IF(M127=0,"-",(R127/M127))</f>
        <v/>
      </c>
      <c r="T127" s="11" t="n">
        <v>54</v>
      </c>
      <c r="U127" s="9">
        <f>M127*T127</f>
        <v/>
      </c>
      <c r="V127" s="9">
        <f>Q127*T127</f>
        <v/>
      </c>
      <c r="W127" s="9">
        <f>U127-V127</f>
        <v/>
      </c>
      <c r="X127" s="7" t="inlineStr">
        <is>
          <t>TechDist Asia</t>
        </is>
      </c>
      <c r="Y127" s="7" t="inlineStr">
        <is>
          <t>Distributor</t>
        </is>
      </c>
      <c r="Z127" s="7" t="inlineStr">
        <is>
          <t>Mall Security Rollout</t>
        </is>
      </c>
      <c r="AA127" s="7" t="inlineStr">
        <is>
          <t>Government</t>
        </is>
      </c>
      <c r="AB127" s="7" t="inlineStr">
        <is>
          <t>Vietnam</t>
        </is>
      </c>
      <c r="AC127" s="7" t="inlineStr">
        <is>
          <t>Online</t>
        </is>
      </c>
      <c r="AD127" s="7" t="n">
        <v>2023</v>
      </c>
      <c r="AE127" s="7" t="inlineStr">
        <is>
          <t>Bundle</t>
        </is>
      </c>
      <c r="AF127" s="7" t="n">
        <v>12</v>
      </c>
      <c r="AG127" s="7" t="inlineStr">
        <is>
          <t>Gen 1</t>
        </is>
      </c>
      <c r="AH127" s="8" t="n">
        <v>265.41</v>
      </c>
      <c r="AI127" s="9" t="n">
        <v>4.29</v>
      </c>
      <c r="AJ127" s="7" t="inlineStr">
        <is>
          <t>Promotional period</t>
        </is>
      </c>
    </row>
    <row r="128">
      <c r="A128" s="2" t="inlineStr">
        <is>
          <t>SKU-002</t>
        </is>
      </c>
      <c r="B128" s="2" t="inlineStr">
        <is>
          <t>Dome Cam 4MP IR</t>
        </is>
      </c>
      <c r="C128" s="2" t="inlineStr">
        <is>
          <t>Dome</t>
        </is>
      </c>
      <c r="D128" s="2" t="inlineStr">
        <is>
          <t>4MP</t>
        </is>
      </c>
      <c r="E128" s="2" t="inlineStr">
        <is>
          <t>IP</t>
        </is>
      </c>
      <c r="F128" s="2" t="inlineStr">
        <is>
          <t>Outdoor</t>
        </is>
      </c>
      <c r="G128" s="2" t="inlineStr">
        <is>
          <t>IP66</t>
        </is>
      </c>
      <c r="H128" s="3" t="n">
        <v>348.8</v>
      </c>
      <c r="I128" s="4" t="n">
        <v>316.29</v>
      </c>
      <c r="J128" s="5" t="n">
        <v>0.09320000000000001</v>
      </c>
      <c r="K128" s="4" t="n">
        <v>32.51</v>
      </c>
      <c r="L128" s="2" t="inlineStr">
        <is>
          <t>Tender</t>
        </is>
      </c>
      <c r="M128" s="4" t="n">
        <v>316.29</v>
      </c>
      <c r="N128" s="3" t="n">
        <v>156.51</v>
      </c>
      <c r="O128" s="3" t="n">
        <v>10.95</v>
      </c>
      <c r="P128" s="3" t="n">
        <v>3.59</v>
      </c>
      <c r="Q128" s="4" t="n">
        <v>171.05</v>
      </c>
      <c r="R128" s="4">
        <f>M128-Q128</f>
        <v/>
      </c>
      <c r="S128" s="5">
        <f>IF(M128=0,"-",(R128/M128))</f>
        <v/>
      </c>
      <c r="T128" s="6" t="n">
        <v>13</v>
      </c>
      <c r="U128" s="4">
        <f>M128*T128</f>
        <v/>
      </c>
      <c r="V128" s="4">
        <f>Q128*T128</f>
        <v/>
      </c>
      <c r="W128" s="4">
        <f>U128-V128</f>
        <v/>
      </c>
      <c r="X128" s="2" t="inlineStr">
        <is>
          <t>GovTech Singapore</t>
        </is>
      </c>
      <c r="Y128" s="2" t="inlineStr">
        <is>
          <t>End User</t>
        </is>
      </c>
      <c r="Z128" s="2" t="inlineStr">
        <is>
          <t>Airport Terminal Upgrade</t>
        </is>
      </c>
      <c r="AA128" s="2" t="inlineStr">
        <is>
          <t>Education</t>
        </is>
      </c>
      <c r="AB128" s="2" t="inlineStr">
        <is>
          <t>Malaysia</t>
        </is>
      </c>
      <c r="AC128" s="2" t="inlineStr">
        <is>
          <t>Distribution</t>
        </is>
      </c>
      <c r="AD128" s="2" t="n">
        <v>2023</v>
      </c>
      <c r="AE128" s="2" t="inlineStr">
        <is>
          <t>Standalone</t>
        </is>
      </c>
      <c r="AF128" s="2" t="n">
        <v>36</v>
      </c>
      <c r="AG128" s="2" t="inlineStr">
        <is>
          <t>Gen 1</t>
        </is>
      </c>
      <c r="AH128" s="3" t="n">
        <v>306.34</v>
      </c>
      <c r="AI128" s="4" t="n">
        <v>9.949999999999999</v>
      </c>
      <c r="AJ128" s="2" t="inlineStr">
        <is>
          <t>Matched quote</t>
        </is>
      </c>
    </row>
    <row r="129">
      <c r="A129" s="7" t="inlineStr">
        <is>
          <t>SKU-009</t>
        </is>
      </c>
      <c r="B129" s="7" t="inlineStr">
        <is>
          <t>Turret Cam 4MP</t>
        </is>
      </c>
      <c r="C129" s="7" t="inlineStr">
        <is>
          <t>Turret</t>
        </is>
      </c>
      <c r="D129" s="7" t="inlineStr">
        <is>
          <t>4MP</t>
        </is>
      </c>
      <c r="E129" s="7" t="inlineStr">
        <is>
          <t>IP</t>
        </is>
      </c>
      <c r="F129" s="7" t="inlineStr">
        <is>
          <t>Indoor</t>
        </is>
      </c>
      <c r="G129" s="7" t="inlineStr">
        <is>
          <t>IP65</t>
        </is>
      </c>
      <c r="H129" s="8" t="n">
        <v>316.1</v>
      </c>
      <c r="I129" s="9" t="n">
        <v>305.98</v>
      </c>
      <c r="J129" s="10" t="n">
        <v>0.032</v>
      </c>
      <c r="K129" s="9" t="n">
        <v>10.12</v>
      </c>
      <c r="L129" s="7" t="inlineStr">
        <is>
          <t>Tender</t>
        </is>
      </c>
      <c r="M129" s="9" t="n">
        <v>305.98</v>
      </c>
      <c r="N129" s="8" t="n">
        <v>141.38</v>
      </c>
      <c r="O129" s="8" t="n">
        <v>12.69</v>
      </c>
      <c r="P129" s="8" t="n">
        <v>3.59</v>
      </c>
      <c r="Q129" s="9" t="n">
        <v>157.66</v>
      </c>
      <c r="R129" s="9">
        <f>M129-Q129</f>
        <v/>
      </c>
      <c r="S129" s="10">
        <f>IF(M129=0,"-",(R129/M129))</f>
        <v/>
      </c>
      <c r="T129" s="11" t="n">
        <v>44</v>
      </c>
      <c r="U129" s="9">
        <f>M129*T129</f>
        <v/>
      </c>
      <c r="V129" s="9">
        <f>Q129*T129</f>
        <v/>
      </c>
      <c r="W129" s="9">
        <f>U129-V129</f>
        <v/>
      </c>
      <c r="X129" s="7" t="inlineStr">
        <is>
          <t>SecureVision Pte Ltd</t>
        </is>
      </c>
      <c r="Y129" s="7" t="inlineStr">
        <is>
          <t>System Integrator</t>
        </is>
      </c>
      <c r="Z129" s="7" t="inlineStr">
        <is>
          <t>Mall Security Rollout</t>
        </is>
      </c>
      <c r="AA129" s="7" t="inlineStr">
        <is>
          <t>Healthcare</t>
        </is>
      </c>
      <c r="AB129" s="7" t="inlineStr">
        <is>
          <t>Malaysia</t>
        </is>
      </c>
      <c r="AC129" s="7" t="inlineStr">
        <is>
          <t>Direct</t>
        </is>
      </c>
      <c r="AD129" s="7" t="n">
        <v>2023</v>
      </c>
      <c r="AE129" s="7" t="inlineStr">
        <is>
          <t>Standalone</t>
        </is>
      </c>
      <c r="AF129" s="7" t="n">
        <v>12</v>
      </c>
      <c r="AG129" s="7" t="inlineStr">
        <is>
          <t>Gen 2</t>
        </is>
      </c>
      <c r="AH129" s="8" t="n">
        <v>263.67</v>
      </c>
      <c r="AI129" s="9" t="n">
        <v>42.31</v>
      </c>
      <c r="AJ129" s="7" t="inlineStr"/>
    </row>
    <row r="130">
      <c r="A130" s="2" t="inlineStr">
        <is>
          <t>SKU-009</t>
        </is>
      </c>
      <c r="B130" s="2" t="inlineStr">
        <is>
          <t>Turret Cam 4MP</t>
        </is>
      </c>
      <c r="C130" s="2" t="inlineStr">
        <is>
          <t>Turret</t>
        </is>
      </c>
      <c r="D130" s="2" t="inlineStr">
        <is>
          <t>4MP</t>
        </is>
      </c>
      <c r="E130" s="2" t="inlineStr">
        <is>
          <t>IP</t>
        </is>
      </c>
      <c r="F130" s="2" t="inlineStr">
        <is>
          <t>Indoor</t>
        </is>
      </c>
      <c r="G130" s="2" t="inlineStr">
        <is>
          <t>IP65</t>
        </is>
      </c>
      <c r="H130" s="3" t="n">
        <v>316.1</v>
      </c>
      <c r="I130" s="4" t="n">
        <v>274.69</v>
      </c>
      <c r="J130" s="5" t="n">
        <v>0.131</v>
      </c>
      <c r="K130" s="4" t="n">
        <v>41.41</v>
      </c>
      <c r="L130" s="2" t="inlineStr">
        <is>
          <t>Distributor</t>
        </is>
      </c>
      <c r="M130" s="4" t="n">
        <v>274.69</v>
      </c>
      <c r="N130" s="3" t="n">
        <v>131.65</v>
      </c>
      <c r="O130" s="3" t="n">
        <v>8.949999999999999</v>
      </c>
      <c r="P130" s="3" t="n">
        <v>3.86</v>
      </c>
      <c r="Q130" s="4" t="n">
        <v>144.46</v>
      </c>
      <c r="R130" s="4">
        <f>M130-Q130</f>
        <v/>
      </c>
      <c r="S130" s="5">
        <f>IF(M130=0,"-",(R130/M130))</f>
        <v/>
      </c>
      <c r="T130" s="6" t="n">
        <v>45</v>
      </c>
      <c r="U130" s="4">
        <f>M130*T130</f>
        <v/>
      </c>
      <c r="V130" s="4">
        <f>Q130*T130</f>
        <v/>
      </c>
      <c r="W130" s="4">
        <f>U130-V130</f>
        <v/>
      </c>
      <c r="X130" s="2" t="inlineStr">
        <is>
          <t>Harbour Trust</t>
        </is>
      </c>
      <c r="Y130" s="2" t="inlineStr">
        <is>
          <t>End User</t>
        </is>
      </c>
      <c r="Z130" s="2" t="inlineStr">
        <is>
          <t>Warehouse Monitoring</t>
        </is>
      </c>
      <c r="AA130" s="2" t="inlineStr">
        <is>
          <t>Transport</t>
        </is>
      </c>
      <c r="AB130" s="2" t="inlineStr">
        <is>
          <t>Vietnam</t>
        </is>
      </c>
      <c r="AC130" s="2" t="inlineStr">
        <is>
          <t>Distribution</t>
        </is>
      </c>
      <c r="AD130" s="2" t="n">
        <v>2023</v>
      </c>
      <c r="AE130" s="2" t="inlineStr">
        <is>
          <t>Bundle</t>
        </is>
      </c>
      <c r="AF130" s="2" t="n">
        <v>12</v>
      </c>
      <c r="AG130" s="2" t="inlineStr">
        <is>
          <t>Gen 2</t>
        </is>
      </c>
      <c r="AH130" s="3" t="n">
        <v>282.88</v>
      </c>
      <c r="AI130" s="4" t="n">
        <v>-8.19</v>
      </c>
      <c r="AJ130" s="2" t="inlineStr">
        <is>
          <t>Rush order</t>
        </is>
      </c>
    </row>
    <row r="131">
      <c r="A131" s="7" t="inlineStr">
        <is>
          <t>SKU-004</t>
        </is>
      </c>
      <c r="B131" s="7" t="inlineStr">
        <is>
          <t>Bullet Cam 4MP AI</t>
        </is>
      </c>
      <c r="C131" s="7" t="inlineStr">
        <is>
          <t>Bullet</t>
        </is>
      </c>
      <c r="D131" s="7" t="inlineStr">
        <is>
          <t>4MP</t>
        </is>
      </c>
      <c r="E131" s="7" t="inlineStr">
        <is>
          <t>AI-enabled</t>
        </is>
      </c>
      <c r="F131" s="7" t="inlineStr">
        <is>
          <t>Outdoor</t>
        </is>
      </c>
      <c r="G131" s="7" t="inlineStr">
        <is>
          <t>IP67</t>
        </is>
      </c>
      <c r="H131" s="8" t="n">
        <v>523.2</v>
      </c>
      <c r="I131" s="9" t="n">
        <v>486.21</v>
      </c>
      <c r="J131" s="10" t="n">
        <v>0.0707</v>
      </c>
      <c r="K131" s="9" t="n">
        <v>36.99</v>
      </c>
      <c r="L131" s="7" t="inlineStr">
        <is>
          <t>Tender</t>
        </is>
      </c>
      <c r="M131" s="9" t="n">
        <v>486.21</v>
      </c>
      <c r="N131" s="8" t="n">
        <v>232.77</v>
      </c>
      <c r="O131" s="8" t="n">
        <v>13.93</v>
      </c>
      <c r="P131" s="8" t="n">
        <v>8.42</v>
      </c>
      <c r="Q131" s="9" t="n">
        <v>255.12</v>
      </c>
      <c r="R131" s="9">
        <f>M131-Q131</f>
        <v/>
      </c>
      <c r="S131" s="10">
        <f>IF(M131=0,"-",(R131/M131))</f>
        <v/>
      </c>
      <c r="T131" s="11" t="n">
        <v>33</v>
      </c>
      <c r="U131" s="9">
        <f>M131*T131</f>
        <v/>
      </c>
      <c r="V131" s="9">
        <f>Q131*T131</f>
        <v/>
      </c>
      <c r="W131" s="9">
        <f>U131-V131</f>
        <v/>
      </c>
      <c r="X131" s="7" t="inlineStr">
        <is>
          <t>GovTech Singapore</t>
        </is>
      </c>
      <c r="Y131" s="7" t="inlineStr">
        <is>
          <t>End User</t>
        </is>
      </c>
      <c r="Z131" s="7" t="inlineStr">
        <is>
          <t>Public Housing CCTV Program</t>
        </is>
      </c>
      <c r="AA131" s="7" t="inlineStr">
        <is>
          <t>Industrial</t>
        </is>
      </c>
      <c r="AB131" s="7" t="inlineStr">
        <is>
          <t>Philippines</t>
        </is>
      </c>
      <c r="AC131" s="7" t="inlineStr">
        <is>
          <t>Distribution</t>
        </is>
      </c>
      <c r="AD131" s="7" t="n">
        <v>2023</v>
      </c>
      <c r="AE131" s="7" t="inlineStr">
        <is>
          <t>Standalone</t>
        </is>
      </c>
      <c r="AF131" s="7" t="n">
        <v>12</v>
      </c>
      <c r="AG131" s="7" t="inlineStr">
        <is>
          <t>Gen 2</t>
        </is>
      </c>
      <c r="AH131" s="8" t="n">
        <v>418.99</v>
      </c>
      <c r="AI131" s="9" t="n">
        <v>67.22</v>
      </c>
      <c r="AJ131" s="7" t="inlineStr">
        <is>
          <t>Promotional period</t>
        </is>
      </c>
    </row>
    <row r="132">
      <c r="A132" s="2" t="inlineStr">
        <is>
          <t>SKU-004</t>
        </is>
      </c>
      <c r="B132" s="2" t="inlineStr">
        <is>
          <t>Bullet Cam 4MP AI</t>
        </is>
      </c>
      <c r="C132" s="2" t="inlineStr">
        <is>
          <t>Bullet</t>
        </is>
      </c>
      <c r="D132" s="2" t="inlineStr">
        <is>
          <t>4MP</t>
        </is>
      </c>
      <c r="E132" s="2" t="inlineStr">
        <is>
          <t>AI-enabled</t>
        </is>
      </c>
      <c r="F132" s="2" t="inlineStr">
        <is>
          <t>Outdoor</t>
        </is>
      </c>
      <c r="G132" s="2" t="inlineStr">
        <is>
          <t>IP67</t>
        </is>
      </c>
      <c r="H132" s="3" t="n">
        <v>523.2</v>
      </c>
      <c r="I132" s="4" t="n">
        <v>500.34</v>
      </c>
      <c r="J132" s="5" t="n">
        <v>0.0437</v>
      </c>
      <c r="K132" s="4" t="n">
        <v>22.86</v>
      </c>
      <c r="L132" s="2" t="inlineStr">
        <is>
          <t>Loyalty</t>
        </is>
      </c>
      <c r="M132" s="4" t="n">
        <v>500.34</v>
      </c>
      <c r="N132" s="3" t="n">
        <v>233.31</v>
      </c>
      <c r="O132" s="3" t="n">
        <v>13.6</v>
      </c>
      <c r="P132" s="3" t="n">
        <v>8.25</v>
      </c>
      <c r="Q132" s="4" t="n">
        <v>255.16</v>
      </c>
      <c r="R132" s="4">
        <f>M132-Q132</f>
        <v/>
      </c>
      <c r="S132" s="5">
        <f>IF(M132=0,"-",(R132/M132))</f>
        <v/>
      </c>
      <c r="T132" s="6" t="n">
        <v>53</v>
      </c>
      <c r="U132" s="4">
        <f>M132*T132</f>
        <v/>
      </c>
      <c r="V132" s="4">
        <f>Q132*T132</f>
        <v/>
      </c>
      <c r="W132" s="4">
        <f>U132-V132</f>
        <v/>
      </c>
      <c r="X132" s="2" t="inlineStr">
        <is>
          <t>Pacific Security Hub</t>
        </is>
      </c>
      <c r="Y132" s="2" t="inlineStr">
        <is>
          <t>Distributor</t>
        </is>
      </c>
      <c r="Z132" s="2" t="inlineStr">
        <is>
          <t>School Campus Safety</t>
        </is>
      </c>
      <c r="AA132" s="2" t="inlineStr">
        <is>
          <t>Retail</t>
        </is>
      </c>
      <c r="AB132" s="2" t="inlineStr">
        <is>
          <t>Indonesia</t>
        </is>
      </c>
      <c r="AC132" s="2" t="inlineStr">
        <is>
          <t>Online</t>
        </is>
      </c>
      <c r="AD132" s="2" t="n">
        <v>2023</v>
      </c>
      <c r="AE132" s="2" t="inlineStr">
        <is>
          <t>Bundle</t>
        </is>
      </c>
      <c r="AF132" s="2" t="n">
        <v>24</v>
      </c>
      <c r="AG132" s="2" t="inlineStr">
        <is>
          <t>Gen 2</t>
        </is>
      </c>
      <c r="AH132" s="3" t="n">
        <v>461.63</v>
      </c>
      <c r="AI132" s="4" t="n">
        <v>38.71</v>
      </c>
      <c r="AJ132" s="2" t="inlineStr"/>
    </row>
    <row r="133">
      <c r="A133" s="7" t="inlineStr">
        <is>
          <t>SKU-005</t>
        </is>
      </c>
      <c r="B133" s="7" t="inlineStr">
        <is>
          <t>PTZ Cam 4MP</t>
        </is>
      </c>
      <c r="C133" s="7" t="inlineStr">
        <is>
          <t>PTZ</t>
        </is>
      </c>
      <c r="D133" s="7" t="inlineStr">
        <is>
          <t>4MP</t>
        </is>
      </c>
      <c r="E133" s="7" t="inlineStr">
        <is>
          <t>IP</t>
        </is>
      </c>
      <c r="F133" s="7" t="inlineStr">
        <is>
          <t>Outdoor</t>
        </is>
      </c>
      <c r="G133" s="7" t="inlineStr">
        <is>
          <t>IP66</t>
        </is>
      </c>
      <c r="H133" s="8" t="n">
        <v>1035.5</v>
      </c>
      <c r="I133" s="9" t="n">
        <v>779.21</v>
      </c>
      <c r="J133" s="10" t="n">
        <v>0.2475</v>
      </c>
      <c r="K133" s="9" t="n">
        <v>256.29</v>
      </c>
      <c r="L133" s="7" t="inlineStr">
        <is>
          <t>Volume</t>
        </is>
      </c>
      <c r="M133" s="9" t="n">
        <v>779.21</v>
      </c>
      <c r="N133" s="8" t="n">
        <v>455.74</v>
      </c>
      <c r="O133" s="8" t="n">
        <v>34.71</v>
      </c>
      <c r="P133" s="8" t="n">
        <v>25.11</v>
      </c>
      <c r="Q133" s="9" t="n">
        <v>515.5599999999999</v>
      </c>
      <c r="R133" s="9">
        <f>M133-Q133</f>
        <v/>
      </c>
      <c r="S133" s="10">
        <f>IF(M133=0,"-",(R133/M133))</f>
        <v/>
      </c>
      <c r="T133" s="11" t="n">
        <v>62</v>
      </c>
      <c r="U133" s="9">
        <f>M133*T133</f>
        <v/>
      </c>
      <c r="V133" s="9">
        <f>Q133*T133</f>
        <v/>
      </c>
      <c r="W133" s="9">
        <f>U133-V133</f>
        <v/>
      </c>
      <c r="X133" s="7" t="inlineStr">
        <is>
          <t>SafeCity Solutions</t>
        </is>
      </c>
      <c r="Y133" s="7" t="inlineStr">
        <is>
          <t>System Integrator</t>
        </is>
      </c>
      <c r="Z133" s="7" t="inlineStr">
        <is>
          <t>School Campus Safety</t>
        </is>
      </c>
      <c r="AA133" s="7" t="inlineStr">
        <is>
          <t>Retail</t>
        </is>
      </c>
      <c r="AB133" s="7" t="inlineStr">
        <is>
          <t>Vietnam</t>
        </is>
      </c>
      <c r="AC133" s="7" t="inlineStr">
        <is>
          <t>Direct</t>
        </is>
      </c>
      <c r="AD133" s="7" t="n">
        <v>2023</v>
      </c>
      <c r="AE133" s="7" t="inlineStr">
        <is>
          <t>Bundle</t>
        </is>
      </c>
      <c r="AF133" s="7" t="n">
        <v>24</v>
      </c>
      <c r="AG133" s="7" t="inlineStr">
        <is>
          <t>Gen 1</t>
        </is>
      </c>
      <c r="AH133" s="8" t="n">
        <v>922.51</v>
      </c>
      <c r="AI133" s="9" t="n">
        <v>-143.3</v>
      </c>
      <c r="AJ133" s="7" t="inlineStr"/>
    </row>
    <row r="134">
      <c r="A134" s="2" t="inlineStr">
        <is>
          <t>SKU-004</t>
        </is>
      </c>
      <c r="B134" s="2" t="inlineStr">
        <is>
          <t>Bullet Cam 4MP AI</t>
        </is>
      </c>
      <c r="C134" s="2" t="inlineStr">
        <is>
          <t>Bullet</t>
        </is>
      </c>
      <c r="D134" s="2" t="inlineStr">
        <is>
          <t>4MP</t>
        </is>
      </c>
      <c r="E134" s="2" t="inlineStr">
        <is>
          <t>AI-enabled</t>
        </is>
      </c>
      <c r="F134" s="2" t="inlineStr">
        <is>
          <t>Outdoor</t>
        </is>
      </c>
      <c r="G134" s="2" t="inlineStr">
        <is>
          <t>IP67</t>
        </is>
      </c>
      <c r="H134" s="3" t="n">
        <v>523.2</v>
      </c>
      <c r="I134" s="4" t="n">
        <v>444.46</v>
      </c>
      <c r="J134" s="5" t="n">
        <v>0.1505</v>
      </c>
      <c r="K134" s="4" t="n">
        <v>78.73999999999999</v>
      </c>
      <c r="L134" s="2" t="inlineStr">
        <is>
          <t>Tender</t>
        </is>
      </c>
      <c r="M134" s="4" t="n">
        <v>444.46</v>
      </c>
      <c r="N134" s="3" t="n">
        <v>218.87</v>
      </c>
      <c r="O134" s="3" t="n">
        <v>18.69</v>
      </c>
      <c r="P134" s="3" t="n">
        <v>10.64</v>
      </c>
      <c r="Q134" s="4" t="n">
        <v>248.2</v>
      </c>
      <c r="R134" s="4">
        <f>M134-Q134</f>
        <v/>
      </c>
      <c r="S134" s="5">
        <f>IF(M134=0,"-",(R134/M134))</f>
        <v/>
      </c>
      <c r="T134" s="6" t="n">
        <v>21</v>
      </c>
      <c r="U134" s="4">
        <f>M134*T134</f>
        <v/>
      </c>
      <c r="V134" s="4">
        <f>Q134*T134</f>
        <v/>
      </c>
      <c r="W134" s="4">
        <f>U134-V134</f>
        <v/>
      </c>
      <c r="X134" s="2" t="inlineStr">
        <is>
          <t>Changi Airport Group</t>
        </is>
      </c>
      <c r="Y134" s="2" t="inlineStr">
        <is>
          <t>End User</t>
        </is>
      </c>
      <c r="Z134" s="2" t="inlineStr">
        <is>
          <t>Public Housing CCTV Program</t>
        </is>
      </c>
      <c r="AA134" s="2" t="inlineStr">
        <is>
          <t>Industrial</t>
        </is>
      </c>
      <c r="AB134" s="2" t="inlineStr">
        <is>
          <t>Singapore</t>
        </is>
      </c>
      <c r="AC134" s="2" t="inlineStr">
        <is>
          <t>Online</t>
        </is>
      </c>
      <c r="AD134" s="2" t="n">
        <v>2023</v>
      </c>
      <c r="AE134" s="2" t="inlineStr">
        <is>
          <t>Standalone</t>
        </is>
      </c>
      <c r="AF134" s="2" t="n">
        <v>12</v>
      </c>
      <c r="AG134" s="2" t="inlineStr">
        <is>
          <t>Gen 1</t>
        </is>
      </c>
      <c r="AH134" s="3" t="n">
        <v>428.89</v>
      </c>
      <c r="AI134" s="4" t="n">
        <v>15.57</v>
      </c>
      <c r="AJ134" s="2" t="inlineStr">
        <is>
          <t>Rush order</t>
        </is>
      </c>
    </row>
    <row r="135">
      <c r="A135" s="7" t="inlineStr">
        <is>
          <t>SKU-008</t>
        </is>
      </c>
      <c r="B135" s="7" t="inlineStr">
        <is>
          <t>Thermal Cam</t>
        </is>
      </c>
      <c r="C135" s="7" t="inlineStr">
        <is>
          <t>Bullet</t>
        </is>
      </c>
      <c r="D135" s="7" t="inlineStr">
        <is>
          <t>2MP</t>
        </is>
      </c>
      <c r="E135" s="7" t="inlineStr">
        <is>
          <t>Thermal</t>
        </is>
      </c>
      <c r="F135" s="7" t="inlineStr">
        <is>
          <t>Outdoor</t>
        </is>
      </c>
      <c r="G135" s="7" t="inlineStr">
        <is>
          <t>IP67</t>
        </is>
      </c>
      <c r="H135" s="8" t="n">
        <v>2616</v>
      </c>
      <c r="I135" s="9" t="n">
        <v>2298.42</v>
      </c>
      <c r="J135" s="10" t="n">
        <v>0.1214</v>
      </c>
      <c r="K135" s="9" t="n">
        <v>317.58</v>
      </c>
      <c r="L135" s="7" t="inlineStr">
        <is>
          <t>Project Bid</t>
        </is>
      </c>
      <c r="M135" s="9" t="n">
        <v>2298.42</v>
      </c>
      <c r="N135" s="8" t="n">
        <v>1102.38</v>
      </c>
      <c r="O135" s="8" t="n">
        <v>98.63</v>
      </c>
      <c r="P135" s="8" t="n">
        <v>52.85</v>
      </c>
      <c r="Q135" s="9" t="n">
        <v>1253.86</v>
      </c>
      <c r="R135" s="9">
        <f>M135-Q135</f>
        <v/>
      </c>
      <c r="S135" s="10">
        <f>IF(M135=0,"-",(R135/M135))</f>
        <v/>
      </c>
      <c r="T135" s="11" t="n">
        <v>41</v>
      </c>
      <c r="U135" s="9">
        <f>M135*T135</f>
        <v/>
      </c>
      <c r="V135" s="9">
        <f>Q135*T135</f>
        <v/>
      </c>
      <c r="W135" s="9">
        <f>U135-V135</f>
        <v/>
      </c>
      <c r="X135" s="7" t="inlineStr">
        <is>
          <t>SafeCity Solutions</t>
        </is>
      </c>
      <c r="Y135" s="7" t="inlineStr">
        <is>
          <t>System Integrator</t>
        </is>
      </c>
      <c r="Z135" s="7" t="inlineStr">
        <is>
          <t>Port Authority Monitoring</t>
        </is>
      </c>
      <c r="AA135" s="7" t="inlineStr">
        <is>
          <t>Commercial</t>
        </is>
      </c>
      <c r="AB135" s="7" t="inlineStr">
        <is>
          <t>Vietnam</t>
        </is>
      </c>
      <c r="AC135" s="7" t="inlineStr">
        <is>
          <t>Distribution</t>
        </is>
      </c>
      <c r="AD135" s="7" t="n">
        <v>2023</v>
      </c>
      <c r="AE135" s="7" t="inlineStr">
        <is>
          <t>Standalone</t>
        </is>
      </c>
      <c r="AF135" s="7" t="n">
        <v>12</v>
      </c>
      <c r="AG135" s="7" t="inlineStr">
        <is>
          <t>Gen 2</t>
        </is>
      </c>
      <c r="AH135" s="8" t="n">
        <v>2319.85</v>
      </c>
      <c r="AI135" s="9" t="n">
        <v>-21.43</v>
      </c>
      <c r="AJ135" s="7" t="inlineStr">
        <is>
          <t>Promotional period</t>
        </is>
      </c>
    </row>
    <row r="136">
      <c r="A136" s="2" t="inlineStr">
        <is>
          <t>SKU-005</t>
        </is>
      </c>
      <c r="B136" s="2" t="inlineStr">
        <is>
          <t>PTZ Cam 4MP</t>
        </is>
      </c>
      <c r="C136" s="2" t="inlineStr">
        <is>
          <t>PTZ</t>
        </is>
      </c>
      <c r="D136" s="2" t="inlineStr">
        <is>
          <t>4MP</t>
        </is>
      </c>
      <c r="E136" s="2" t="inlineStr">
        <is>
          <t>IP</t>
        </is>
      </c>
      <c r="F136" s="2" t="inlineStr">
        <is>
          <t>Outdoor</t>
        </is>
      </c>
      <c r="G136" s="2" t="inlineStr">
        <is>
          <t>IP66</t>
        </is>
      </c>
      <c r="H136" s="3" t="n">
        <v>1035.5</v>
      </c>
      <c r="I136" s="4" t="n">
        <v>990.66</v>
      </c>
      <c r="J136" s="5" t="n">
        <v>0.0433</v>
      </c>
      <c r="K136" s="4" t="n">
        <v>44.84</v>
      </c>
      <c r="L136" s="2" t="inlineStr">
        <is>
          <t>Tender</t>
        </is>
      </c>
      <c r="M136" s="4" t="n">
        <v>990.66</v>
      </c>
      <c r="N136" s="3" t="n">
        <v>459.68</v>
      </c>
      <c r="O136" s="3" t="n">
        <v>51.76</v>
      </c>
      <c r="P136" s="3" t="n">
        <v>31.86</v>
      </c>
      <c r="Q136" s="4" t="n">
        <v>543.3</v>
      </c>
      <c r="R136" s="4">
        <f>M136-Q136</f>
        <v/>
      </c>
      <c r="S136" s="5">
        <f>IF(M136=0,"-",(R136/M136))</f>
        <v/>
      </c>
      <c r="T136" s="6" t="n">
        <v>62</v>
      </c>
      <c r="U136" s="4">
        <f>M136*T136</f>
        <v/>
      </c>
      <c r="V136" s="4">
        <f>Q136*T136</f>
        <v/>
      </c>
      <c r="W136" s="4">
        <f>U136-V136</f>
        <v/>
      </c>
      <c r="X136" s="2" t="inlineStr">
        <is>
          <t>SecureVision Pte Ltd</t>
        </is>
      </c>
      <c r="Y136" s="2" t="inlineStr">
        <is>
          <t>System Integrator</t>
        </is>
      </c>
      <c r="Z136" s="2" t="inlineStr">
        <is>
          <t>Port Authority Monitoring</t>
        </is>
      </c>
      <c r="AA136" s="2" t="inlineStr">
        <is>
          <t>Education</t>
        </is>
      </c>
      <c r="AB136" s="2" t="inlineStr">
        <is>
          <t>Singapore</t>
        </is>
      </c>
      <c r="AC136" s="2" t="inlineStr">
        <is>
          <t>Direct</t>
        </is>
      </c>
      <c r="AD136" s="2" t="n">
        <v>2023</v>
      </c>
      <c r="AE136" s="2" t="inlineStr">
        <is>
          <t>Standalone</t>
        </is>
      </c>
      <c r="AF136" s="2" t="n">
        <v>36</v>
      </c>
      <c r="AG136" s="2" t="inlineStr">
        <is>
          <t>Gen 1</t>
        </is>
      </c>
      <c r="AH136" s="3" t="n">
        <v>832.34</v>
      </c>
      <c r="AI136" s="4" t="n">
        <v>158.32</v>
      </c>
      <c r="AJ136" s="2" t="inlineStr">
        <is>
          <t>Promotional period</t>
        </is>
      </c>
    </row>
    <row r="137">
      <c r="A137" s="7" t="inlineStr">
        <is>
          <t>SKU-003</t>
        </is>
      </c>
      <c r="B137" s="7" t="inlineStr">
        <is>
          <t>Bullet Cam 2MP</t>
        </is>
      </c>
      <c r="C137" s="7" t="inlineStr">
        <is>
          <t>Bullet</t>
        </is>
      </c>
      <c r="D137" s="7" t="inlineStr">
        <is>
          <t>2MP</t>
        </is>
      </c>
      <c r="E137" s="7" t="inlineStr">
        <is>
          <t>Analog</t>
        </is>
      </c>
      <c r="F137" s="7" t="inlineStr">
        <is>
          <t>Outdoor</t>
        </is>
      </c>
      <c r="G137" s="7" t="inlineStr">
        <is>
          <t>IP66</t>
        </is>
      </c>
      <c r="H137" s="8" t="n">
        <v>163.5</v>
      </c>
      <c r="I137" s="9" t="n">
        <v>146.09</v>
      </c>
      <c r="J137" s="10" t="n">
        <v>0.1065</v>
      </c>
      <c r="K137" s="9" t="n">
        <v>17.41</v>
      </c>
      <c r="L137" s="7" t="inlineStr">
        <is>
          <t>Tender</t>
        </is>
      </c>
      <c r="M137" s="9" t="n">
        <v>146.09</v>
      </c>
      <c r="N137" s="8" t="n">
        <v>71.94</v>
      </c>
      <c r="O137" s="8" t="n">
        <v>4.5</v>
      </c>
      <c r="P137" s="8" t="n">
        <v>3.37</v>
      </c>
      <c r="Q137" s="9" t="n">
        <v>79.81</v>
      </c>
      <c r="R137" s="9">
        <f>M137-Q137</f>
        <v/>
      </c>
      <c r="S137" s="10">
        <f>IF(M137=0,"-",(R137/M137))</f>
        <v/>
      </c>
      <c r="T137" s="11" t="n">
        <v>69</v>
      </c>
      <c r="U137" s="9">
        <f>M137*T137</f>
        <v/>
      </c>
      <c r="V137" s="9">
        <f>Q137*T137</f>
        <v/>
      </c>
      <c r="W137" s="9">
        <f>U137-V137</f>
        <v/>
      </c>
      <c r="X137" s="7" t="inlineStr">
        <is>
          <t>GovTech Singapore</t>
        </is>
      </c>
      <c r="Y137" s="7" t="inlineStr">
        <is>
          <t>End User</t>
        </is>
      </c>
      <c r="Z137" s="7" t="inlineStr">
        <is>
          <t>Smart City Initiative</t>
        </is>
      </c>
      <c r="AA137" s="7" t="inlineStr">
        <is>
          <t>Retail</t>
        </is>
      </c>
      <c r="AB137" s="7" t="inlineStr">
        <is>
          <t>Thailand</t>
        </is>
      </c>
      <c r="AC137" s="7" t="inlineStr">
        <is>
          <t>Distribution</t>
        </is>
      </c>
      <c r="AD137" s="7" t="n">
        <v>2023</v>
      </c>
      <c r="AE137" s="7" t="inlineStr">
        <is>
          <t>Standalone</t>
        </is>
      </c>
      <c r="AF137" s="7" t="n">
        <v>12</v>
      </c>
      <c r="AG137" s="7" t="inlineStr">
        <is>
          <t>Gen 1</t>
        </is>
      </c>
      <c r="AH137" s="8" t="n">
        <v>133.3</v>
      </c>
      <c r="AI137" s="9" t="n">
        <v>12.79</v>
      </c>
      <c r="AJ137" s="7" t="inlineStr">
        <is>
          <t>Matched quote</t>
        </is>
      </c>
    </row>
    <row r="138">
      <c r="A138" s="2" t="inlineStr">
        <is>
          <t>SKU-001</t>
        </is>
      </c>
      <c r="B138" s="2" t="inlineStr">
        <is>
          <t>Dome Cam 2MP Indoor</t>
        </is>
      </c>
      <c r="C138" s="2" t="inlineStr">
        <is>
          <t>Dome</t>
        </is>
      </c>
      <c r="D138" s="2" t="inlineStr">
        <is>
          <t>2MP</t>
        </is>
      </c>
      <c r="E138" s="2" t="inlineStr">
        <is>
          <t>IP</t>
        </is>
      </c>
      <c r="F138" s="2" t="inlineStr">
        <is>
          <t>Indoor</t>
        </is>
      </c>
      <c r="G138" s="2" t="inlineStr">
        <is>
          <t>IP65</t>
        </is>
      </c>
      <c r="H138" s="3" t="n">
        <v>196.2</v>
      </c>
      <c r="I138" s="4" t="n">
        <v>179.62</v>
      </c>
      <c r="J138" s="5" t="n">
        <v>0.08450000000000001</v>
      </c>
      <c r="K138" s="4" t="n">
        <v>16.58</v>
      </c>
      <c r="L138" s="2" t="inlineStr">
        <is>
          <t>Loyalty</t>
        </is>
      </c>
      <c r="M138" s="4" t="n">
        <v>179.62</v>
      </c>
      <c r="N138" s="3" t="n">
        <v>90.02</v>
      </c>
      <c r="O138" s="3" t="n">
        <v>6.68</v>
      </c>
      <c r="P138" s="3" t="n">
        <v>3.04</v>
      </c>
      <c r="Q138" s="4" t="n">
        <v>99.73999999999999</v>
      </c>
      <c r="R138" s="4">
        <f>M138-Q138</f>
        <v/>
      </c>
      <c r="S138" s="5">
        <f>IF(M138=0,"-",(R138/M138))</f>
        <v/>
      </c>
      <c r="T138" s="6" t="n">
        <v>16</v>
      </c>
      <c r="U138" s="4">
        <f>M138*T138</f>
        <v/>
      </c>
      <c r="V138" s="4">
        <f>Q138*T138</f>
        <v/>
      </c>
      <c r="W138" s="4">
        <f>U138-V138</f>
        <v/>
      </c>
      <c r="X138" s="2" t="inlineStr">
        <is>
          <t>SecureVision Pte Ltd</t>
        </is>
      </c>
      <c r="Y138" s="2" t="inlineStr">
        <is>
          <t>System Integrator</t>
        </is>
      </c>
      <c r="Z138" s="2" t="inlineStr">
        <is>
          <t>School Campus Safety</t>
        </is>
      </c>
      <c r="AA138" s="2" t="inlineStr">
        <is>
          <t>Healthcare</t>
        </is>
      </c>
      <c r="AB138" s="2" t="inlineStr">
        <is>
          <t>Philippines</t>
        </is>
      </c>
      <c r="AC138" s="2" t="inlineStr">
        <is>
          <t>Online</t>
        </is>
      </c>
      <c r="AD138" s="2" t="n">
        <v>2023</v>
      </c>
      <c r="AE138" s="2" t="inlineStr">
        <is>
          <t>Standalone</t>
        </is>
      </c>
      <c r="AF138" s="2" t="n">
        <v>36</v>
      </c>
      <c r="AG138" s="2" t="inlineStr">
        <is>
          <t>Gen 2</t>
        </is>
      </c>
      <c r="AH138" s="3" t="n">
        <v>157.72</v>
      </c>
      <c r="AI138" s="4" t="n">
        <v>21.9</v>
      </c>
      <c r="AJ138" s="2" t="inlineStr"/>
    </row>
    <row r="139">
      <c r="A139" s="7" t="inlineStr">
        <is>
          <t>SKU-007</t>
        </is>
      </c>
      <c r="B139" s="7" t="inlineStr">
        <is>
          <t>Fisheye Cam 4MP</t>
        </is>
      </c>
      <c r="C139" s="7" t="inlineStr">
        <is>
          <t>Fisheye</t>
        </is>
      </c>
      <c r="D139" s="7" t="inlineStr">
        <is>
          <t>4MP</t>
        </is>
      </c>
      <c r="E139" s="7" t="inlineStr">
        <is>
          <t>IP</t>
        </is>
      </c>
      <c r="F139" s="7" t="inlineStr">
        <is>
          <t>Indoor</t>
        </is>
      </c>
      <c r="G139" s="7" t="inlineStr">
        <is>
          <t>IP65</t>
        </is>
      </c>
      <c r="H139" s="8" t="n">
        <v>675.8</v>
      </c>
      <c r="I139" s="9" t="n">
        <v>648.97</v>
      </c>
      <c r="J139" s="10" t="n">
        <v>0.0397</v>
      </c>
      <c r="K139" s="9" t="n">
        <v>26.83</v>
      </c>
      <c r="L139" s="7" t="inlineStr">
        <is>
          <t>Project Bid</t>
        </is>
      </c>
      <c r="M139" s="9" t="n">
        <v>648.97</v>
      </c>
      <c r="N139" s="8" t="n">
        <v>286.79</v>
      </c>
      <c r="O139" s="8" t="n">
        <v>23.15</v>
      </c>
      <c r="P139" s="8" t="n">
        <v>13.48</v>
      </c>
      <c r="Q139" s="9" t="n">
        <v>323.42</v>
      </c>
      <c r="R139" s="9">
        <f>M139-Q139</f>
        <v/>
      </c>
      <c r="S139" s="10">
        <f>IF(M139=0,"-",(R139/M139))</f>
        <v/>
      </c>
      <c r="T139" s="11" t="n">
        <v>9</v>
      </c>
      <c r="U139" s="9">
        <f>M139*T139</f>
        <v/>
      </c>
      <c r="V139" s="9">
        <f>Q139*T139</f>
        <v/>
      </c>
      <c r="W139" s="9">
        <f>U139-V139</f>
        <v/>
      </c>
      <c r="X139" s="7" t="inlineStr">
        <is>
          <t>SmartBuild Integrators</t>
        </is>
      </c>
      <c r="Y139" s="7" t="inlineStr">
        <is>
          <t>System Integrator</t>
        </is>
      </c>
      <c r="Z139" s="7" t="inlineStr">
        <is>
          <t>Airport Terminal Upgrade</t>
        </is>
      </c>
      <c r="AA139" s="7" t="inlineStr">
        <is>
          <t>Transport</t>
        </is>
      </c>
      <c r="AB139" s="7" t="inlineStr">
        <is>
          <t>Malaysia</t>
        </is>
      </c>
      <c r="AC139" s="7" t="inlineStr">
        <is>
          <t>Direct</t>
        </is>
      </c>
      <c r="AD139" s="7" t="n">
        <v>2023</v>
      </c>
      <c r="AE139" s="7" t="inlineStr">
        <is>
          <t>Bundle</t>
        </is>
      </c>
      <c r="AF139" s="7" t="n">
        <v>24</v>
      </c>
      <c r="AG139" s="7" t="inlineStr">
        <is>
          <t>Gen 1</t>
        </is>
      </c>
      <c r="AH139" s="8" t="n">
        <v>552</v>
      </c>
      <c r="AI139" s="9" t="n">
        <v>96.97</v>
      </c>
      <c r="AJ139" s="7" t="inlineStr">
        <is>
          <t>End-of-life stock</t>
        </is>
      </c>
    </row>
    <row r="140">
      <c r="A140" s="2" t="inlineStr">
        <is>
          <t>SKU-004</t>
        </is>
      </c>
      <c r="B140" s="2" t="inlineStr">
        <is>
          <t>Bullet Cam 4MP AI</t>
        </is>
      </c>
      <c r="C140" s="2" t="inlineStr">
        <is>
          <t>Bullet</t>
        </is>
      </c>
      <c r="D140" s="2" t="inlineStr">
        <is>
          <t>4MP</t>
        </is>
      </c>
      <c r="E140" s="2" t="inlineStr">
        <is>
          <t>AI-enabled</t>
        </is>
      </c>
      <c r="F140" s="2" t="inlineStr">
        <is>
          <t>Outdoor</t>
        </is>
      </c>
      <c r="G140" s="2" t="inlineStr">
        <is>
          <t>IP67</t>
        </is>
      </c>
      <c r="H140" s="3" t="n">
        <v>523.2</v>
      </c>
      <c r="I140" s="4" t="n">
        <v>447.49</v>
      </c>
      <c r="J140" s="5" t="n">
        <v>0.1447</v>
      </c>
      <c r="K140" s="4" t="n">
        <v>75.70999999999999</v>
      </c>
      <c r="L140" s="2" t="inlineStr">
        <is>
          <t>Distributor</t>
        </is>
      </c>
      <c r="M140" s="4" t="n">
        <v>447.49</v>
      </c>
      <c r="N140" s="3" t="n">
        <v>240.02</v>
      </c>
      <c r="O140" s="3" t="n">
        <v>18.95</v>
      </c>
      <c r="P140" s="3" t="n">
        <v>8.1</v>
      </c>
      <c r="Q140" s="4" t="n">
        <v>267.07</v>
      </c>
      <c r="R140" s="4">
        <f>M140-Q140</f>
        <v/>
      </c>
      <c r="S140" s="5">
        <f>IF(M140=0,"-",(R140/M140))</f>
        <v/>
      </c>
      <c r="T140" s="6" t="n">
        <v>73</v>
      </c>
      <c r="U140" s="4">
        <f>M140*T140</f>
        <v/>
      </c>
      <c r="V140" s="4">
        <f>Q140*T140</f>
        <v/>
      </c>
      <c r="W140" s="4">
        <f>U140-V140</f>
        <v/>
      </c>
      <c r="X140" s="2" t="inlineStr">
        <is>
          <t>SmartBuild Integrators</t>
        </is>
      </c>
      <c r="Y140" s="2" t="inlineStr">
        <is>
          <t>System Integrator</t>
        </is>
      </c>
      <c r="Z140" s="2" t="inlineStr">
        <is>
          <t>Hospital Perimeter Security</t>
        </is>
      </c>
      <c r="AA140" s="2" t="inlineStr">
        <is>
          <t>Education</t>
        </is>
      </c>
      <c r="AB140" s="2" t="inlineStr">
        <is>
          <t>Vietnam</t>
        </is>
      </c>
      <c r="AC140" s="2" t="inlineStr">
        <is>
          <t>Online</t>
        </is>
      </c>
      <c r="AD140" s="2" t="n">
        <v>2023</v>
      </c>
      <c r="AE140" s="2" t="inlineStr">
        <is>
          <t>Bundle</t>
        </is>
      </c>
      <c r="AF140" s="2" t="n">
        <v>24</v>
      </c>
      <c r="AG140" s="2" t="inlineStr">
        <is>
          <t>Gen 1</t>
        </is>
      </c>
      <c r="AH140" s="3" t="n">
        <v>478.11</v>
      </c>
      <c r="AI140" s="4" t="n">
        <v>-30.62</v>
      </c>
      <c r="AJ140" s="2" t="inlineStr"/>
    </row>
    <row r="141">
      <c r="A141" s="7" t="inlineStr">
        <is>
          <t>SKU-003</t>
        </is>
      </c>
      <c r="B141" s="7" t="inlineStr">
        <is>
          <t>Bullet Cam 2MP</t>
        </is>
      </c>
      <c r="C141" s="7" t="inlineStr">
        <is>
          <t>Bullet</t>
        </is>
      </c>
      <c r="D141" s="7" t="inlineStr">
        <is>
          <t>2MP</t>
        </is>
      </c>
      <c r="E141" s="7" t="inlineStr">
        <is>
          <t>Analog</t>
        </is>
      </c>
      <c r="F141" s="7" t="inlineStr">
        <is>
          <t>Outdoor</t>
        </is>
      </c>
      <c r="G141" s="7" t="inlineStr">
        <is>
          <t>IP66</t>
        </is>
      </c>
      <c r="H141" s="8" t="n">
        <v>163.5</v>
      </c>
      <c r="I141" s="9" t="n">
        <v>147.8</v>
      </c>
      <c r="J141" s="10" t="n">
        <v>0.096</v>
      </c>
      <c r="K141" s="9" t="n">
        <v>15.7</v>
      </c>
      <c r="L141" s="7" t="inlineStr">
        <is>
          <t>Tender</t>
        </is>
      </c>
      <c r="M141" s="9" t="n">
        <v>147.8</v>
      </c>
      <c r="N141" s="8" t="n">
        <v>70.2</v>
      </c>
      <c r="O141" s="8" t="n">
        <v>4.41</v>
      </c>
      <c r="P141" s="8" t="n">
        <v>3.29</v>
      </c>
      <c r="Q141" s="9" t="n">
        <v>77.90000000000001</v>
      </c>
      <c r="R141" s="9">
        <f>M141-Q141</f>
        <v/>
      </c>
      <c r="S141" s="10">
        <f>IF(M141=0,"-",(R141/M141))</f>
        <v/>
      </c>
      <c r="T141" s="11" t="n">
        <v>32</v>
      </c>
      <c r="U141" s="9">
        <f>M141*T141</f>
        <v/>
      </c>
      <c r="V141" s="9">
        <f>Q141*T141</f>
        <v/>
      </c>
      <c r="W141" s="9">
        <f>U141-V141</f>
        <v/>
      </c>
      <c r="X141" s="7" t="inlineStr">
        <is>
          <t>SkyNet Resellers</t>
        </is>
      </c>
      <c r="Y141" s="7" t="inlineStr">
        <is>
          <t>Reseller</t>
        </is>
      </c>
      <c r="Z141" s="7" t="inlineStr">
        <is>
          <t>CBD Traffic Surveillance</t>
        </is>
      </c>
      <c r="AA141" s="7" t="inlineStr">
        <is>
          <t>Healthcare</t>
        </is>
      </c>
      <c r="AB141" s="7" t="inlineStr">
        <is>
          <t>Singapore</t>
        </is>
      </c>
      <c r="AC141" s="7" t="inlineStr">
        <is>
          <t>Distribution</t>
        </is>
      </c>
      <c r="AD141" s="7" t="n">
        <v>2023</v>
      </c>
      <c r="AE141" s="7" t="inlineStr">
        <is>
          <t>Standalone</t>
        </is>
      </c>
      <c r="AF141" s="7" t="n">
        <v>36</v>
      </c>
      <c r="AG141" s="7" t="inlineStr">
        <is>
          <t>Gen 2</t>
        </is>
      </c>
      <c r="AH141" s="8" t="n">
        <v>147.46</v>
      </c>
      <c r="AI141" s="9" t="n">
        <v>0.34</v>
      </c>
      <c r="AJ141" s="7" t="inlineStr">
        <is>
          <t>End-of-life stock</t>
        </is>
      </c>
    </row>
    <row r="142">
      <c r="A142" s="2" t="inlineStr">
        <is>
          <t>SKU-003</t>
        </is>
      </c>
      <c r="B142" s="2" t="inlineStr">
        <is>
          <t>Bullet Cam 2MP</t>
        </is>
      </c>
      <c r="C142" s="2" t="inlineStr">
        <is>
          <t>Bullet</t>
        </is>
      </c>
      <c r="D142" s="2" t="inlineStr">
        <is>
          <t>2MP</t>
        </is>
      </c>
      <c r="E142" s="2" t="inlineStr">
        <is>
          <t>Analog</t>
        </is>
      </c>
      <c r="F142" s="2" t="inlineStr">
        <is>
          <t>Outdoor</t>
        </is>
      </c>
      <c r="G142" s="2" t="inlineStr">
        <is>
          <t>IP66</t>
        </is>
      </c>
      <c r="H142" s="3" t="n">
        <v>163.5</v>
      </c>
      <c r="I142" s="4" t="n">
        <v>146.71</v>
      </c>
      <c r="J142" s="5" t="n">
        <v>0.1027</v>
      </c>
      <c r="K142" s="4" t="n">
        <v>16.79</v>
      </c>
      <c r="L142" s="2" t="inlineStr">
        <is>
          <t>Loyalty</t>
        </is>
      </c>
      <c r="M142" s="4" t="n">
        <v>146.71</v>
      </c>
      <c r="N142" s="3" t="n">
        <v>69.11</v>
      </c>
      <c r="O142" s="3" t="n">
        <v>3.84</v>
      </c>
      <c r="P142" s="3" t="n">
        <v>2.94</v>
      </c>
      <c r="Q142" s="4" t="n">
        <v>75.89</v>
      </c>
      <c r="R142" s="4">
        <f>M142-Q142</f>
        <v/>
      </c>
      <c r="S142" s="5">
        <f>IF(M142=0,"-",(R142/M142))</f>
        <v/>
      </c>
      <c r="T142" s="6" t="n">
        <v>49</v>
      </c>
      <c r="U142" s="4">
        <f>M142*T142</f>
        <v/>
      </c>
      <c r="V142" s="4">
        <f>Q142*T142</f>
        <v/>
      </c>
      <c r="W142" s="4">
        <f>U142-V142</f>
        <v/>
      </c>
      <c r="X142" s="2" t="inlineStr">
        <is>
          <t>Pacific Security Hub</t>
        </is>
      </c>
      <c r="Y142" s="2" t="inlineStr">
        <is>
          <t>Distributor</t>
        </is>
      </c>
      <c r="Z142" s="2" t="inlineStr">
        <is>
          <t>Airport Terminal Upgrade</t>
        </is>
      </c>
      <c r="AA142" s="2" t="inlineStr">
        <is>
          <t>Education</t>
        </is>
      </c>
      <c r="AB142" s="2" t="inlineStr">
        <is>
          <t>Thailand</t>
        </is>
      </c>
      <c r="AC142" s="2" t="inlineStr">
        <is>
          <t>Distribution</t>
        </is>
      </c>
      <c r="AD142" s="2" t="n">
        <v>2023</v>
      </c>
      <c r="AE142" s="2" t="inlineStr">
        <is>
          <t>Bundle</t>
        </is>
      </c>
      <c r="AF142" s="2" t="n">
        <v>24</v>
      </c>
      <c r="AG142" s="2" t="inlineStr">
        <is>
          <t>Gen 1</t>
        </is>
      </c>
      <c r="AH142" s="3" t="n">
        <v>132.61</v>
      </c>
      <c r="AI142" s="4" t="n">
        <v>14.1</v>
      </c>
      <c r="AJ142" s="2" t="inlineStr"/>
    </row>
    <row r="143">
      <c r="A143" s="7" t="inlineStr">
        <is>
          <t>SKU-004</t>
        </is>
      </c>
      <c r="B143" s="7" t="inlineStr">
        <is>
          <t>Bullet Cam 4MP AI</t>
        </is>
      </c>
      <c r="C143" s="7" t="inlineStr">
        <is>
          <t>Bullet</t>
        </is>
      </c>
      <c r="D143" s="7" t="inlineStr">
        <is>
          <t>4MP</t>
        </is>
      </c>
      <c r="E143" s="7" t="inlineStr">
        <is>
          <t>AI-enabled</t>
        </is>
      </c>
      <c r="F143" s="7" t="inlineStr">
        <is>
          <t>Outdoor</t>
        </is>
      </c>
      <c r="G143" s="7" t="inlineStr">
        <is>
          <t>IP67</t>
        </is>
      </c>
      <c r="H143" s="8" t="n">
        <v>523.2</v>
      </c>
      <c r="I143" s="9" t="n">
        <v>439.85</v>
      </c>
      <c r="J143" s="10" t="n">
        <v>0.1593</v>
      </c>
      <c r="K143" s="9" t="n">
        <v>83.34999999999999</v>
      </c>
      <c r="L143" s="7" t="inlineStr">
        <is>
          <t>Loyalty</t>
        </is>
      </c>
      <c r="M143" s="9" t="n">
        <v>439.85</v>
      </c>
      <c r="N143" s="8" t="n">
        <v>235.87</v>
      </c>
      <c r="O143" s="8" t="n">
        <v>22.88</v>
      </c>
      <c r="P143" s="8" t="n">
        <v>7.28</v>
      </c>
      <c r="Q143" s="9" t="n">
        <v>266.03</v>
      </c>
      <c r="R143" s="9">
        <f>M143-Q143</f>
        <v/>
      </c>
      <c r="S143" s="10">
        <f>IF(M143=0,"-",(R143/M143))</f>
        <v/>
      </c>
      <c r="T143" s="11" t="n">
        <v>28</v>
      </c>
      <c r="U143" s="9">
        <f>M143*T143</f>
        <v/>
      </c>
      <c r="V143" s="9">
        <f>Q143*T143</f>
        <v/>
      </c>
      <c r="W143" s="9">
        <f>U143-V143</f>
        <v/>
      </c>
      <c r="X143" s="7" t="inlineStr">
        <is>
          <t>SecureVision Pte Ltd</t>
        </is>
      </c>
      <c r="Y143" s="7" t="inlineStr">
        <is>
          <t>System Integrator</t>
        </is>
      </c>
      <c r="Z143" s="7" t="inlineStr">
        <is>
          <t>School Campus Safety</t>
        </is>
      </c>
      <c r="AA143" s="7" t="inlineStr">
        <is>
          <t>Healthcare</t>
        </is>
      </c>
      <c r="AB143" s="7" t="inlineStr">
        <is>
          <t>Philippines</t>
        </is>
      </c>
      <c r="AC143" s="7" t="inlineStr">
        <is>
          <t>Online</t>
        </is>
      </c>
      <c r="AD143" s="7" t="n">
        <v>2023</v>
      </c>
      <c r="AE143" s="7" t="inlineStr">
        <is>
          <t>Bundle</t>
        </is>
      </c>
      <c r="AF143" s="7" t="n">
        <v>12</v>
      </c>
      <c r="AG143" s="7" t="inlineStr">
        <is>
          <t>Gen 1</t>
        </is>
      </c>
      <c r="AH143" s="8" t="n">
        <v>473.15</v>
      </c>
      <c r="AI143" s="9" t="n">
        <v>-33.3</v>
      </c>
      <c r="AJ143" s="7" t="inlineStr">
        <is>
          <t>End-of-life stock</t>
        </is>
      </c>
    </row>
    <row r="144">
      <c r="A144" s="2" t="inlineStr">
        <is>
          <t>SKU-001</t>
        </is>
      </c>
      <c r="B144" s="2" t="inlineStr">
        <is>
          <t>Dome Cam 2MP Indoor</t>
        </is>
      </c>
      <c r="C144" s="2" t="inlineStr">
        <is>
          <t>Dome</t>
        </is>
      </c>
      <c r="D144" s="2" t="inlineStr">
        <is>
          <t>2MP</t>
        </is>
      </c>
      <c r="E144" s="2" t="inlineStr">
        <is>
          <t>IP</t>
        </is>
      </c>
      <c r="F144" s="2" t="inlineStr">
        <is>
          <t>Indoor</t>
        </is>
      </c>
      <c r="G144" s="2" t="inlineStr">
        <is>
          <t>IP65</t>
        </is>
      </c>
      <c r="H144" s="3" t="n">
        <v>201.6</v>
      </c>
      <c r="I144" s="4" t="n">
        <v>184.93</v>
      </c>
      <c r="J144" s="5" t="n">
        <v>0.0827</v>
      </c>
      <c r="K144" s="4" t="n">
        <v>16.67</v>
      </c>
      <c r="L144" s="2" t="inlineStr">
        <is>
          <t>Tender</t>
        </is>
      </c>
      <c r="M144" s="4" t="n">
        <v>184.93</v>
      </c>
      <c r="N144" s="3" t="n">
        <v>88.67</v>
      </c>
      <c r="O144" s="3" t="n">
        <v>6.43</v>
      </c>
      <c r="P144" s="3" t="n">
        <v>3.03</v>
      </c>
      <c r="Q144" s="4" t="n">
        <v>98.13</v>
      </c>
      <c r="R144" s="4">
        <f>M144-Q144</f>
        <v/>
      </c>
      <c r="S144" s="5">
        <f>IF(M144=0,"-",(R144/M144))</f>
        <v/>
      </c>
      <c r="T144" s="6" t="n">
        <v>61</v>
      </c>
      <c r="U144" s="4">
        <f>M144*T144</f>
        <v/>
      </c>
      <c r="V144" s="4">
        <f>Q144*T144</f>
        <v/>
      </c>
      <c r="W144" s="4">
        <f>U144-V144</f>
        <v/>
      </c>
      <c r="X144" s="2" t="inlineStr">
        <is>
          <t>Changi Airport Group</t>
        </is>
      </c>
      <c r="Y144" s="2" t="inlineStr">
        <is>
          <t>End User</t>
        </is>
      </c>
      <c r="Z144" s="2" t="inlineStr">
        <is>
          <t>Port Authority Monitoring</t>
        </is>
      </c>
      <c r="AA144" s="2" t="inlineStr">
        <is>
          <t>Commercial</t>
        </is>
      </c>
      <c r="AB144" s="2" t="inlineStr">
        <is>
          <t>Singapore</t>
        </is>
      </c>
      <c r="AC144" s="2" t="inlineStr">
        <is>
          <t>Online</t>
        </is>
      </c>
      <c r="AD144" s="2" t="n">
        <v>2024</v>
      </c>
      <c r="AE144" s="2" t="inlineStr">
        <is>
          <t>Bundle</t>
        </is>
      </c>
      <c r="AF144" s="2" t="n">
        <v>36</v>
      </c>
      <c r="AG144" s="2" t="inlineStr">
        <is>
          <t>Gen 1</t>
        </is>
      </c>
      <c r="AH144" s="3" t="n">
        <v>174.19</v>
      </c>
      <c r="AI144" s="4" t="n">
        <v>10.74</v>
      </c>
      <c r="AJ144" s="2" t="inlineStr">
        <is>
          <t>End-of-life stock</t>
        </is>
      </c>
    </row>
    <row r="145">
      <c r="A145" s="7" t="inlineStr">
        <is>
          <t>SKU-005</t>
        </is>
      </c>
      <c r="B145" s="7" t="inlineStr">
        <is>
          <t>PTZ Cam 4MP</t>
        </is>
      </c>
      <c r="C145" s="7" t="inlineStr">
        <is>
          <t>PTZ</t>
        </is>
      </c>
      <c r="D145" s="7" t="inlineStr">
        <is>
          <t>4MP</t>
        </is>
      </c>
      <c r="E145" s="7" t="inlineStr">
        <is>
          <t>IP</t>
        </is>
      </c>
      <c r="F145" s="7" t="inlineStr">
        <is>
          <t>Outdoor</t>
        </is>
      </c>
      <c r="G145" s="7" t="inlineStr">
        <is>
          <t>IP66</t>
        </is>
      </c>
      <c r="H145" s="8" t="n">
        <v>1064</v>
      </c>
      <c r="I145" s="9" t="n">
        <v>935.15</v>
      </c>
      <c r="J145" s="10" t="n">
        <v>0.1211</v>
      </c>
      <c r="K145" s="9" t="n">
        <v>128.85</v>
      </c>
      <c r="L145" s="7" t="inlineStr">
        <is>
          <t>Project Bid</t>
        </is>
      </c>
      <c r="M145" s="9" t="n">
        <v>935.15</v>
      </c>
      <c r="N145" s="8" t="n">
        <v>464.32</v>
      </c>
      <c r="O145" s="8" t="n">
        <v>41.5</v>
      </c>
      <c r="P145" s="8" t="n">
        <v>14.42</v>
      </c>
      <c r="Q145" s="9" t="n">
        <v>520.24</v>
      </c>
      <c r="R145" s="9">
        <f>M145-Q145</f>
        <v/>
      </c>
      <c r="S145" s="10">
        <f>IF(M145=0,"-",(R145/M145))</f>
        <v/>
      </c>
      <c r="T145" s="11" t="n">
        <v>20</v>
      </c>
      <c r="U145" s="9">
        <f>M145*T145</f>
        <v/>
      </c>
      <c r="V145" s="9">
        <f>Q145*T145</f>
        <v/>
      </c>
      <c r="W145" s="9">
        <f>U145-V145</f>
        <v/>
      </c>
      <c r="X145" s="7" t="inlineStr">
        <is>
          <t>TechDist Asia</t>
        </is>
      </c>
      <c r="Y145" s="7" t="inlineStr">
        <is>
          <t>Distributor</t>
        </is>
      </c>
      <c r="Z145" s="7" t="inlineStr">
        <is>
          <t>Hospital Perimeter Security</t>
        </is>
      </c>
      <c r="AA145" s="7" t="inlineStr">
        <is>
          <t>Education</t>
        </is>
      </c>
      <c r="AB145" s="7" t="inlineStr">
        <is>
          <t>Thailand</t>
        </is>
      </c>
      <c r="AC145" s="7" t="inlineStr">
        <is>
          <t>Distribution</t>
        </is>
      </c>
      <c r="AD145" s="7" t="n">
        <v>2024</v>
      </c>
      <c r="AE145" s="7" t="inlineStr">
        <is>
          <t>Standalone</t>
        </is>
      </c>
      <c r="AF145" s="7" t="n">
        <v>24</v>
      </c>
      <c r="AG145" s="7" t="inlineStr">
        <is>
          <t>Gen 1</t>
        </is>
      </c>
      <c r="AH145" s="8" t="n">
        <v>853.27</v>
      </c>
      <c r="AI145" s="9" t="n">
        <v>81.88</v>
      </c>
      <c r="AJ145" s="7" t="inlineStr">
        <is>
          <t>Rush order</t>
        </is>
      </c>
    </row>
    <row r="146">
      <c r="A146" s="2" t="inlineStr">
        <is>
          <t>SKU-010</t>
        </is>
      </c>
      <c r="B146" s="2" t="inlineStr">
        <is>
          <t>Turret Cam 8MP 4K AI</t>
        </is>
      </c>
      <c r="C146" s="2" t="inlineStr">
        <is>
          <t>Turret</t>
        </is>
      </c>
      <c r="D146" s="2" t="inlineStr">
        <is>
          <t>8MP (4K)</t>
        </is>
      </c>
      <c r="E146" s="2" t="inlineStr">
        <is>
          <t>AI-enabled</t>
        </is>
      </c>
      <c r="F146" s="2" t="inlineStr">
        <is>
          <t>Outdoor</t>
        </is>
      </c>
      <c r="G146" s="2" t="inlineStr">
        <is>
          <t>IP66</t>
        </is>
      </c>
      <c r="H146" s="3" t="n">
        <v>873.6</v>
      </c>
      <c r="I146" s="4" t="n">
        <v>721.59</v>
      </c>
      <c r="J146" s="5" t="n">
        <v>0.174</v>
      </c>
      <c r="K146" s="4" t="n">
        <v>152.01</v>
      </c>
      <c r="L146" s="2" t="inlineStr">
        <is>
          <t>Distributor</t>
        </is>
      </c>
      <c r="M146" s="4" t="n">
        <v>721.59</v>
      </c>
      <c r="N146" s="3" t="n">
        <v>380.77</v>
      </c>
      <c r="O146" s="3" t="n">
        <v>37.29</v>
      </c>
      <c r="P146" s="3" t="n">
        <v>12.51</v>
      </c>
      <c r="Q146" s="4" t="n">
        <v>430.57</v>
      </c>
      <c r="R146" s="4">
        <f>M146-Q146</f>
        <v/>
      </c>
      <c r="S146" s="5">
        <f>IF(M146=0,"-",(R146/M146))</f>
        <v/>
      </c>
      <c r="T146" s="6" t="n">
        <v>64</v>
      </c>
      <c r="U146" s="4">
        <f>M146*T146</f>
        <v/>
      </c>
      <c r="V146" s="4">
        <f>Q146*T146</f>
        <v/>
      </c>
      <c r="W146" s="4">
        <f>U146-V146</f>
        <v/>
      </c>
      <c r="X146" s="2" t="inlineStr">
        <is>
          <t>SmartBuild Integrators</t>
        </is>
      </c>
      <c r="Y146" s="2" t="inlineStr">
        <is>
          <t>System Integrator</t>
        </is>
      </c>
      <c r="Z146" s="2" t="inlineStr">
        <is>
          <t>Smart City Initiative</t>
        </is>
      </c>
      <c r="AA146" s="2" t="inlineStr">
        <is>
          <t>Retail</t>
        </is>
      </c>
      <c r="AB146" s="2" t="inlineStr">
        <is>
          <t>Malaysia</t>
        </is>
      </c>
      <c r="AC146" s="2" t="inlineStr">
        <is>
          <t>Direct</t>
        </is>
      </c>
      <c r="AD146" s="2" t="n">
        <v>2024</v>
      </c>
      <c r="AE146" s="2" t="inlineStr">
        <is>
          <t>Bundle</t>
        </is>
      </c>
      <c r="AF146" s="2" t="n">
        <v>24</v>
      </c>
      <c r="AG146" s="2" t="inlineStr">
        <is>
          <t>Gen 1</t>
        </is>
      </c>
      <c r="AH146" s="3" t="n">
        <v>800.2</v>
      </c>
      <c r="AI146" s="4" t="n">
        <v>-78.61</v>
      </c>
      <c r="AJ146" s="2" t="inlineStr"/>
    </row>
    <row r="147">
      <c r="A147" s="7" t="inlineStr">
        <is>
          <t>SKU-008</t>
        </is>
      </c>
      <c r="B147" s="7" t="inlineStr">
        <is>
          <t>Thermal Cam</t>
        </is>
      </c>
      <c r="C147" s="7" t="inlineStr">
        <is>
          <t>Bullet</t>
        </is>
      </c>
      <c r="D147" s="7" t="inlineStr">
        <is>
          <t>2MP</t>
        </is>
      </c>
      <c r="E147" s="7" t="inlineStr">
        <is>
          <t>Thermal</t>
        </is>
      </c>
      <c r="F147" s="7" t="inlineStr">
        <is>
          <t>Outdoor</t>
        </is>
      </c>
      <c r="G147" s="7" t="inlineStr">
        <is>
          <t>IP67</t>
        </is>
      </c>
      <c r="H147" s="8" t="n">
        <v>2688</v>
      </c>
      <c r="I147" s="9" t="n">
        <v>2111.16</v>
      </c>
      <c r="J147" s="10" t="n">
        <v>0.2146</v>
      </c>
      <c r="K147" s="9" t="n">
        <v>576.84</v>
      </c>
      <c r="L147" s="7" t="inlineStr">
        <is>
          <t>Volume</t>
        </is>
      </c>
      <c r="M147" s="9" t="n">
        <v>2111.16</v>
      </c>
      <c r="N147" s="8" t="n">
        <v>1178.82</v>
      </c>
      <c r="O147" s="8" t="n">
        <v>65.06999999999999</v>
      </c>
      <c r="P147" s="8" t="n">
        <v>71.79000000000001</v>
      </c>
      <c r="Q147" s="9" t="n">
        <v>1315.68</v>
      </c>
      <c r="R147" s="9">
        <f>M147-Q147</f>
        <v/>
      </c>
      <c r="S147" s="10">
        <f>IF(M147=0,"-",(R147/M147))</f>
        <v/>
      </c>
      <c r="T147" s="11" t="n">
        <v>8</v>
      </c>
      <c r="U147" s="9">
        <f>M147*T147</f>
        <v/>
      </c>
      <c r="V147" s="9">
        <f>Q147*T147</f>
        <v/>
      </c>
      <c r="W147" s="9">
        <f>U147-V147</f>
        <v/>
      </c>
      <c r="X147" s="7" t="inlineStr">
        <is>
          <t>Pacific Security Hub</t>
        </is>
      </c>
      <c r="Y147" s="7" t="inlineStr">
        <is>
          <t>Distributor</t>
        </is>
      </c>
      <c r="Z147" s="7" t="inlineStr">
        <is>
          <t>Mall Security Rollout</t>
        </is>
      </c>
      <c r="AA147" s="7" t="inlineStr">
        <is>
          <t>Commercial</t>
        </is>
      </c>
      <c r="AB147" s="7" t="inlineStr">
        <is>
          <t>Indonesia</t>
        </is>
      </c>
      <c r="AC147" s="7" t="inlineStr">
        <is>
          <t>Direct</t>
        </is>
      </c>
      <c r="AD147" s="7" t="n">
        <v>2024</v>
      </c>
      <c r="AE147" s="7" t="inlineStr">
        <is>
          <t>Standalone</t>
        </is>
      </c>
      <c r="AF147" s="7" t="n">
        <v>12</v>
      </c>
      <c r="AG147" s="7" t="inlineStr">
        <is>
          <t>Gen 1</t>
        </is>
      </c>
      <c r="AH147" s="8" t="n">
        <v>2396.95</v>
      </c>
      <c r="AI147" s="9" t="n">
        <v>-285.79</v>
      </c>
      <c r="AJ147" s="7" t="inlineStr">
        <is>
          <t>Promotional period</t>
        </is>
      </c>
    </row>
    <row r="148">
      <c r="A148" s="2" t="inlineStr">
        <is>
          <t>SKU-003</t>
        </is>
      </c>
      <c r="B148" s="2" t="inlineStr">
        <is>
          <t>Bullet Cam 2MP</t>
        </is>
      </c>
      <c r="C148" s="2" t="inlineStr">
        <is>
          <t>Bullet</t>
        </is>
      </c>
      <c r="D148" s="2" t="inlineStr">
        <is>
          <t>2MP</t>
        </is>
      </c>
      <c r="E148" s="2" t="inlineStr">
        <is>
          <t>Analog</t>
        </is>
      </c>
      <c r="F148" s="2" t="inlineStr">
        <is>
          <t>Outdoor</t>
        </is>
      </c>
      <c r="G148" s="2" t="inlineStr">
        <is>
          <t>IP66</t>
        </is>
      </c>
      <c r="H148" s="3" t="n">
        <v>168</v>
      </c>
      <c r="I148" s="4" t="n">
        <v>138.31</v>
      </c>
      <c r="J148" s="5" t="n">
        <v>0.1767</v>
      </c>
      <c r="K148" s="4" t="n">
        <v>29.69</v>
      </c>
      <c r="L148" s="2" t="inlineStr">
        <is>
          <t>Volume</t>
        </is>
      </c>
      <c r="M148" s="4" t="n">
        <v>138.31</v>
      </c>
      <c r="N148" s="3" t="n">
        <v>73.66</v>
      </c>
      <c r="O148" s="3" t="n">
        <v>6.86</v>
      </c>
      <c r="P148" s="3" t="n">
        <v>3.25</v>
      </c>
      <c r="Q148" s="4" t="n">
        <v>83.77</v>
      </c>
      <c r="R148" s="4">
        <f>M148-Q148</f>
        <v/>
      </c>
      <c r="S148" s="5">
        <f>IF(M148=0,"-",(R148/M148))</f>
        <v/>
      </c>
      <c r="T148" s="6" t="n">
        <v>64</v>
      </c>
      <c r="U148" s="4">
        <f>M148*T148</f>
        <v/>
      </c>
      <c r="V148" s="4">
        <f>Q148*T148</f>
        <v/>
      </c>
      <c r="W148" s="4">
        <f>U148-V148</f>
        <v/>
      </c>
      <c r="X148" s="2" t="inlineStr">
        <is>
          <t>Changi Airport Group</t>
        </is>
      </c>
      <c r="Y148" s="2" t="inlineStr">
        <is>
          <t>End User</t>
        </is>
      </c>
      <c r="Z148" s="2" t="inlineStr">
        <is>
          <t>City Surveillance Phase 1</t>
        </is>
      </c>
      <c r="AA148" s="2" t="inlineStr">
        <is>
          <t>Commercial</t>
        </is>
      </c>
      <c r="AB148" s="2" t="inlineStr">
        <is>
          <t>Malaysia</t>
        </is>
      </c>
      <c r="AC148" s="2" t="inlineStr">
        <is>
          <t>Direct</t>
        </is>
      </c>
      <c r="AD148" s="2" t="n">
        <v>2024</v>
      </c>
      <c r="AE148" s="2" t="inlineStr">
        <is>
          <t>Standalone</t>
        </is>
      </c>
      <c r="AF148" s="2" t="n">
        <v>24</v>
      </c>
      <c r="AG148" s="2" t="inlineStr">
        <is>
          <t>Gen 1</t>
        </is>
      </c>
      <c r="AH148" s="3" t="n">
        <v>134.72</v>
      </c>
      <c r="AI148" s="4" t="n">
        <v>3.59</v>
      </c>
      <c r="AJ148" s="2" t="inlineStr">
        <is>
          <t>Rush order</t>
        </is>
      </c>
    </row>
    <row r="149">
      <c r="A149" s="7" t="inlineStr">
        <is>
          <t>SKU-009</t>
        </is>
      </c>
      <c r="B149" s="7" t="inlineStr">
        <is>
          <t>Turret Cam 4MP</t>
        </is>
      </c>
      <c r="C149" s="7" t="inlineStr">
        <is>
          <t>Turret</t>
        </is>
      </c>
      <c r="D149" s="7" t="inlineStr">
        <is>
          <t>4MP</t>
        </is>
      </c>
      <c r="E149" s="7" t="inlineStr">
        <is>
          <t>IP</t>
        </is>
      </c>
      <c r="F149" s="7" t="inlineStr">
        <is>
          <t>Indoor</t>
        </is>
      </c>
      <c r="G149" s="7" t="inlineStr">
        <is>
          <t>IP65</t>
        </is>
      </c>
      <c r="H149" s="8" t="n">
        <v>324.8</v>
      </c>
      <c r="I149" s="9" t="n">
        <v>250.03</v>
      </c>
      <c r="J149" s="10" t="n">
        <v>0.2302</v>
      </c>
      <c r="K149" s="9" t="n">
        <v>74.77</v>
      </c>
      <c r="L149" s="7" t="inlineStr">
        <is>
          <t>Distributor</t>
        </is>
      </c>
      <c r="M149" s="9" t="n">
        <v>250.03</v>
      </c>
      <c r="N149" s="8" t="n">
        <v>144.29</v>
      </c>
      <c r="O149" s="8" t="n">
        <v>8.300000000000001</v>
      </c>
      <c r="P149" s="8" t="n">
        <v>3.58</v>
      </c>
      <c r="Q149" s="9" t="n">
        <v>156.17</v>
      </c>
      <c r="R149" s="9">
        <f>M149-Q149</f>
        <v/>
      </c>
      <c r="S149" s="10">
        <f>IF(M149=0,"-",(R149/M149))</f>
        <v/>
      </c>
      <c r="T149" s="11" t="n">
        <v>21</v>
      </c>
      <c r="U149" s="9">
        <f>M149*T149</f>
        <v/>
      </c>
      <c r="V149" s="9">
        <f>Q149*T149</f>
        <v/>
      </c>
      <c r="W149" s="9">
        <f>U149-V149</f>
        <v/>
      </c>
      <c r="X149" s="7" t="inlineStr">
        <is>
          <t>SkyNet Resellers</t>
        </is>
      </c>
      <c r="Y149" s="7" t="inlineStr">
        <is>
          <t>Reseller</t>
        </is>
      </c>
      <c r="Z149" s="7" t="inlineStr">
        <is>
          <t>Airport Terminal Upgrade</t>
        </is>
      </c>
      <c r="AA149" s="7" t="inlineStr">
        <is>
          <t>Government</t>
        </is>
      </c>
      <c r="AB149" s="7" t="inlineStr">
        <is>
          <t>Vietnam</t>
        </is>
      </c>
      <c r="AC149" s="7" t="inlineStr">
        <is>
          <t>Online</t>
        </is>
      </c>
      <c r="AD149" s="7" t="n">
        <v>2024</v>
      </c>
      <c r="AE149" s="7" t="inlineStr">
        <is>
          <t>Standalone</t>
        </is>
      </c>
      <c r="AF149" s="7" t="n">
        <v>12</v>
      </c>
      <c r="AG149" s="7" t="inlineStr">
        <is>
          <t>Gen 2</t>
        </is>
      </c>
      <c r="AH149" s="8" t="n">
        <v>269.23</v>
      </c>
      <c r="AI149" s="9" t="n">
        <v>-19.2</v>
      </c>
      <c r="AJ149" s="7" t="inlineStr">
        <is>
          <t>Rush order</t>
        </is>
      </c>
    </row>
    <row r="150">
      <c r="A150" s="2" t="inlineStr">
        <is>
          <t>SKU-009</t>
        </is>
      </c>
      <c r="B150" s="2" t="inlineStr">
        <is>
          <t>Turret Cam 4MP</t>
        </is>
      </c>
      <c r="C150" s="2" t="inlineStr">
        <is>
          <t>Turret</t>
        </is>
      </c>
      <c r="D150" s="2" t="inlineStr">
        <is>
          <t>4MP</t>
        </is>
      </c>
      <c r="E150" s="2" t="inlineStr">
        <is>
          <t>IP</t>
        </is>
      </c>
      <c r="F150" s="2" t="inlineStr">
        <is>
          <t>Indoor</t>
        </is>
      </c>
      <c r="G150" s="2" t="inlineStr">
        <is>
          <t>IP65</t>
        </is>
      </c>
      <c r="H150" s="3" t="n">
        <v>324.8</v>
      </c>
      <c r="I150" s="4" t="n">
        <v>298.91</v>
      </c>
      <c r="J150" s="5" t="n">
        <v>0.07969999999999999</v>
      </c>
      <c r="K150" s="4" t="n">
        <v>25.89</v>
      </c>
      <c r="L150" s="2" t="inlineStr">
        <is>
          <t>Distributor</t>
        </is>
      </c>
      <c r="M150" s="4" t="n">
        <v>298.91</v>
      </c>
      <c r="N150" s="3" t="n">
        <v>146.86</v>
      </c>
      <c r="O150" s="3" t="n">
        <v>14.38</v>
      </c>
      <c r="P150" s="3" t="n">
        <v>9.16</v>
      </c>
      <c r="Q150" s="4" t="n">
        <v>170.4</v>
      </c>
      <c r="R150" s="4">
        <f>M150-Q150</f>
        <v/>
      </c>
      <c r="S150" s="5">
        <f>IF(M150=0,"-",(R150/M150))</f>
        <v/>
      </c>
      <c r="T150" s="6" t="n">
        <v>6</v>
      </c>
      <c r="U150" s="4">
        <f>M150*T150</f>
        <v/>
      </c>
      <c r="V150" s="4">
        <f>Q150*T150</f>
        <v/>
      </c>
      <c r="W150" s="4">
        <f>U150-V150</f>
        <v/>
      </c>
      <c r="X150" s="2" t="inlineStr">
        <is>
          <t>TechDist Asia</t>
        </is>
      </c>
      <c r="Y150" s="2" t="inlineStr">
        <is>
          <t>Distributor</t>
        </is>
      </c>
      <c r="Z150" s="2" t="inlineStr">
        <is>
          <t>Hospital Perimeter Security</t>
        </is>
      </c>
      <c r="AA150" s="2" t="inlineStr">
        <is>
          <t>Retail</t>
        </is>
      </c>
      <c r="AB150" s="2" t="inlineStr">
        <is>
          <t>Thailand</t>
        </is>
      </c>
      <c r="AC150" s="2" t="inlineStr">
        <is>
          <t>Direct</t>
        </is>
      </c>
      <c r="AD150" s="2" t="n">
        <v>2024</v>
      </c>
      <c r="AE150" s="2" t="inlineStr">
        <is>
          <t>Standalone</t>
        </is>
      </c>
      <c r="AF150" s="2" t="n">
        <v>24</v>
      </c>
      <c r="AG150" s="2" t="inlineStr">
        <is>
          <t>Gen 1</t>
        </is>
      </c>
      <c r="AH150" s="3" t="n">
        <v>263.48</v>
      </c>
      <c r="AI150" s="4" t="n">
        <v>35.43</v>
      </c>
      <c r="AJ150" s="2" t="inlineStr">
        <is>
          <t>Promotional period</t>
        </is>
      </c>
    </row>
    <row r="151">
      <c r="A151" s="7" t="inlineStr">
        <is>
          <t>SKU-007</t>
        </is>
      </c>
      <c r="B151" s="7" t="inlineStr">
        <is>
          <t>Fisheye Cam 4MP</t>
        </is>
      </c>
      <c r="C151" s="7" t="inlineStr">
        <is>
          <t>Fisheye</t>
        </is>
      </c>
      <c r="D151" s="7" t="inlineStr">
        <is>
          <t>4MP</t>
        </is>
      </c>
      <c r="E151" s="7" t="inlineStr">
        <is>
          <t>IP</t>
        </is>
      </c>
      <c r="F151" s="7" t="inlineStr">
        <is>
          <t>Indoor</t>
        </is>
      </c>
      <c r="G151" s="7" t="inlineStr">
        <is>
          <t>IP65</t>
        </is>
      </c>
      <c r="H151" s="8" t="n">
        <v>694.4</v>
      </c>
      <c r="I151" s="9" t="n">
        <v>622.95</v>
      </c>
      <c r="J151" s="10" t="n">
        <v>0.1029</v>
      </c>
      <c r="K151" s="9" t="n">
        <v>71.45</v>
      </c>
      <c r="L151" s="7" t="inlineStr">
        <is>
          <t>Volume</t>
        </is>
      </c>
      <c r="M151" s="9" t="n">
        <v>622.95</v>
      </c>
      <c r="N151" s="8" t="n">
        <v>306.78</v>
      </c>
      <c r="O151" s="8" t="n">
        <v>36.33</v>
      </c>
      <c r="P151" s="8" t="n">
        <v>21.07</v>
      </c>
      <c r="Q151" s="9" t="n">
        <v>364.18</v>
      </c>
      <c r="R151" s="9">
        <f>M151-Q151</f>
        <v/>
      </c>
      <c r="S151" s="10">
        <f>IF(M151=0,"-",(R151/M151))</f>
        <v/>
      </c>
      <c r="T151" s="11" t="n">
        <v>69</v>
      </c>
      <c r="U151" s="9">
        <f>M151*T151</f>
        <v/>
      </c>
      <c r="V151" s="9">
        <f>Q151*T151</f>
        <v/>
      </c>
      <c r="W151" s="9">
        <f>U151-V151</f>
        <v/>
      </c>
      <c r="X151" s="7" t="inlineStr">
        <is>
          <t>Harbour Trust</t>
        </is>
      </c>
      <c r="Y151" s="7" t="inlineStr">
        <is>
          <t>End User</t>
        </is>
      </c>
      <c r="Z151" s="7" t="inlineStr">
        <is>
          <t>Warehouse Monitoring</t>
        </is>
      </c>
      <c r="AA151" s="7" t="inlineStr">
        <is>
          <t>Government</t>
        </is>
      </c>
      <c r="AB151" s="7" t="inlineStr">
        <is>
          <t>Philippines</t>
        </is>
      </c>
      <c r="AC151" s="7" t="inlineStr">
        <is>
          <t>Direct</t>
        </is>
      </c>
      <c r="AD151" s="7" t="n">
        <v>2024</v>
      </c>
      <c r="AE151" s="7" t="inlineStr">
        <is>
          <t>Bundle</t>
        </is>
      </c>
      <c r="AF151" s="7" t="n">
        <v>24</v>
      </c>
      <c r="AG151" s="7" t="inlineStr">
        <is>
          <t>Gen 2</t>
        </is>
      </c>
      <c r="AH151" s="8" t="n">
        <v>632.11</v>
      </c>
      <c r="AI151" s="9" t="n">
        <v>-9.16</v>
      </c>
      <c r="AJ151" s="7" t="inlineStr">
        <is>
          <t>Matched quote</t>
        </is>
      </c>
    </row>
    <row r="152">
      <c r="A152" s="2" t="inlineStr">
        <is>
          <t>SKU-004</t>
        </is>
      </c>
      <c r="B152" s="2" t="inlineStr">
        <is>
          <t>Bullet Cam 4MP AI</t>
        </is>
      </c>
      <c r="C152" s="2" t="inlineStr">
        <is>
          <t>Bullet</t>
        </is>
      </c>
      <c r="D152" s="2" t="inlineStr">
        <is>
          <t>4MP</t>
        </is>
      </c>
      <c r="E152" s="2" t="inlineStr">
        <is>
          <t>AI-enabled</t>
        </is>
      </c>
      <c r="F152" s="2" t="inlineStr">
        <is>
          <t>Outdoor</t>
        </is>
      </c>
      <c r="G152" s="2" t="inlineStr">
        <is>
          <t>IP67</t>
        </is>
      </c>
      <c r="H152" s="3" t="n">
        <v>537.6</v>
      </c>
      <c r="I152" s="4" t="n">
        <v>496.96</v>
      </c>
      <c r="J152" s="5" t="n">
        <v>0.0756</v>
      </c>
      <c r="K152" s="4" t="n">
        <v>40.64</v>
      </c>
      <c r="L152" s="2" t="inlineStr">
        <is>
          <t>Distributor</t>
        </is>
      </c>
      <c r="M152" s="4" t="n">
        <v>496.96</v>
      </c>
      <c r="N152" s="3" t="n">
        <v>223.81</v>
      </c>
      <c r="O152" s="3" t="n">
        <v>13.45</v>
      </c>
      <c r="P152" s="3" t="n">
        <v>13.66</v>
      </c>
      <c r="Q152" s="4" t="n">
        <v>250.92</v>
      </c>
      <c r="R152" s="4">
        <f>M152-Q152</f>
        <v/>
      </c>
      <c r="S152" s="5">
        <f>IF(M152=0,"-",(R152/M152))</f>
        <v/>
      </c>
      <c r="T152" s="6" t="n">
        <v>52</v>
      </c>
      <c r="U152" s="4">
        <f>M152*T152</f>
        <v/>
      </c>
      <c r="V152" s="4">
        <f>Q152*T152</f>
        <v/>
      </c>
      <c r="W152" s="4">
        <f>U152-V152</f>
        <v/>
      </c>
      <c r="X152" s="2" t="inlineStr">
        <is>
          <t>SmartBuild Integrators</t>
        </is>
      </c>
      <c r="Y152" s="2" t="inlineStr">
        <is>
          <t>System Integrator</t>
        </is>
      </c>
      <c r="Z152" s="2" t="inlineStr">
        <is>
          <t>Warehouse Monitoring</t>
        </is>
      </c>
      <c r="AA152" s="2" t="inlineStr">
        <is>
          <t>Retail</t>
        </is>
      </c>
      <c r="AB152" s="2" t="inlineStr">
        <is>
          <t>Singapore</t>
        </is>
      </c>
      <c r="AC152" s="2" t="inlineStr">
        <is>
          <t>Direct</t>
        </is>
      </c>
      <c r="AD152" s="2" t="n">
        <v>2024</v>
      </c>
      <c r="AE152" s="2" t="inlineStr">
        <is>
          <t>Bundle</t>
        </is>
      </c>
      <c r="AF152" s="2" t="n">
        <v>12</v>
      </c>
      <c r="AG152" s="2" t="inlineStr">
        <is>
          <t>Gen 2</t>
        </is>
      </c>
      <c r="AH152" s="3" t="n">
        <v>490</v>
      </c>
      <c r="AI152" s="4" t="n">
        <v>6.96</v>
      </c>
      <c r="AJ152" s="2" t="inlineStr">
        <is>
          <t>End-of-life stock</t>
        </is>
      </c>
    </row>
    <row r="153">
      <c r="A153" s="7" t="inlineStr">
        <is>
          <t>SKU-003</t>
        </is>
      </c>
      <c r="B153" s="7" t="inlineStr">
        <is>
          <t>Bullet Cam 2MP</t>
        </is>
      </c>
      <c r="C153" s="7" t="inlineStr">
        <is>
          <t>Bullet</t>
        </is>
      </c>
      <c r="D153" s="7" t="inlineStr">
        <is>
          <t>2MP</t>
        </is>
      </c>
      <c r="E153" s="7" t="inlineStr">
        <is>
          <t>Analog</t>
        </is>
      </c>
      <c r="F153" s="7" t="inlineStr">
        <is>
          <t>Outdoor</t>
        </is>
      </c>
      <c r="G153" s="7" t="inlineStr">
        <is>
          <t>IP66</t>
        </is>
      </c>
      <c r="H153" s="8" t="n">
        <v>168</v>
      </c>
      <c r="I153" s="9" t="n">
        <v>137.49</v>
      </c>
      <c r="J153" s="10" t="n">
        <v>0.1816</v>
      </c>
      <c r="K153" s="9" t="n">
        <v>30.51</v>
      </c>
      <c r="L153" s="7" t="inlineStr">
        <is>
          <t>Loyalty</t>
        </is>
      </c>
      <c r="M153" s="9" t="n">
        <v>137.49</v>
      </c>
      <c r="N153" s="8" t="n">
        <v>74.91</v>
      </c>
      <c r="O153" s="8" t="n">
        <v>4.16</v>
      </c>
      <c r="P153" s="8" t="n">
        <v>4.29</v>
      </c>
      <c r="Q153" s="9" t="n">
        <v>83.36</v>
      </c>
      <c r="R153" s="9">
        <f>M153-Q153</f>
        <v/>
      </c>
      <c r="S153" s="10">
        <f>IF(M153=0,"-",(R153/M153))</f>
        <v/>
      </c>
      <c r="T153" s="11" t="n">
        <v>46</v>
      </c>
      <c r="U153" s="9">
        <f>M153*T153</f>
        <v/>
      </c>
      <c r="V153" s="9">
        <f>Q153*T153</f>
        <v/>
      </c>
      <c r="W153" s="9">
        <f>U153-V153</f>
        <v/>
      </c>
      <c r="X153" s="7" t="inlineStr">
        <is>
          <t>SmartBuild Integrators</t>
        </is>
      </c>
      <c r="Y153" s="7" t="inlineStr">
        <is>
          <t>System Integrator</t>
        </is>
      </c>
      <c r="Z153" s="7" t="inlineStr">
        <is>
          <t>Port Authority Monitoring</t>
        </is>
      </c>
      <c r="AA153" s="7" t="inlineStr">
        <is>
          <t>Education</t>
        </is>
      </c>
      <c r="AB153" s="7" t="inlineStr">
        <is>
          <t>Thailand</t>
        </is>
      </c>
      <c r="AC153" s="7" t="inlineStr">
        <is>
          <t>Online</t>
        </is>
      </c>
      <c r="AD153" s="7" t="n">
        <v>2024</v>
      </c>
      <c r="AE153" s="7" t="inlineStr">
        <is>
          <t>Standalone</t>
        </is>
      </c>
      <c r="AF153" s="7" t="n">
        <v>24</v>
      </c>
      <c r="AG153" s="7" t="inlineStr">
        <is>
          <t>Gen 1</t>
        </is>
      </c>
      <c r="AH153" s="8" t="n">
        <v>135.48</v>
      </c>
      <c r="AI153" s="9" t="n">
        <v>2.01</v>
      </c>
      <c r="AJ153" s="7" t="inlineStr">
        <is>
          <t>Promotional period</t>
        </is>
      </c>
    </row>
    <row r="154">
      <c r="A154" s="2" t="inlineStr">
        <is>
          <t>SKU-004</t>
        </is>
      </c>
      <c r="B154" s="2" t="inlineStr">
        <is>
          <t>Bullet Cam 4MP AI</t>
        </is>
      </c>
      <c r="C154" s="2" t="inlineStr">
        <is>
          <t>Bullet</t>
        </is>
      </c>
      <c r="D154" s="2" t="inlineStr">
        <is>
          <t>4MP</t>
        </is>
      </c>
      <c r="E154" s="2" t="inlineStr">
        <is>
          <t>AI-enabled</t>
        </is>
      </c>
      <c r="F154" s="2" t="inlineStr">
        <is>
          <t>Outdoor</t>
        </is>
      </c>
      <c r="G154" s="2" t="inlineStr">
        <is>
          <t>IP67</t>
        </is>
      </c>
      <c r="H154" s="3" t="n">
        <v>537.6</v>
      </c>
      <c r="I154" s="4" t="n">
        <v>468.2</v>
      </c>
      <c r="J154" s="5" t="n">
        <v>0.1291</v>
      </c>
      <c r="K154" s="4" t="n">
        <v>69.40000000000001</v>
      </c>
      <c r="L154" s="2" t="inlineStr">
        <is>
          <t>Tender</t>
        </is>
      </c>
      <c r="M154" s="4" t="n">
        <v>468.2</v>
      </c>
      <c r="N154" s="3" t="n">
        <v>241.87</v>
      </c>
      <c r="O154" s="3" t="n">
        <v>15.96</v>
      </c>
      <c r="P154" s="3" t="n">
        <v>11.53</v>
      </c>
      <c r="Q154" s="4" t="n">
        <v>269.36</v>
      </c>
      <c r="R154" s="4">
        <f>M154-Q154</f>
        <v/>
      </c>
      <c r="S154" s="5">
        <f>IF(M154=0,"-",(R154/M154))</f>
        <v/>
      </c>
      <c r="T154" s="6" t="n">
        <v>50</v>
      </c>
      <c r="U154" s="4">
        <f>M154*T154</f>
        <v/>
      </c>
      <c r="V154" s="4">
        <f>Q154*T154</f>
        <v/>
      </c>
      <c r="W154" s="4">
        <f>U154-V154</f>
        <v/>
      </c>
      <c r="X154" s="2" t="inlineStr">
        <is>
          <t>SafeCity Solutions</t>
        </is>
      </c>
      <c r="Y154" s="2" t="inlineStr">
        <is>
          <t>System Integrator</t>
        </is>
      </c>
      <c r="Z154" s="2" t="inlineStr">
        <is>
          <t>Hospital Perimeter Security</t>
        </is>
      </c>
      <c r="AA154" s="2" t="inlineStr">
        <is>
          <t>Education</t>
        </is>
      </c>
      <c r="AB154" s="2" t="inlineStr">
        <is>
          <t>Vietnam</t>
        </is>
      </c>
      <c r="AC154" s="2" t="inlineStr">
        <is>
          <t>Online</t>
        </is>
      </c>
      <c r="AD154" s="2" t="n">
        <v>2024</v>
      </c>
      <c r="AE154" s="2" t="inlineStr">
        <is>
          <t>Standalone</t>
        </is>
      </c>
      <c r="AF154" s="2" t="n">
        <v>12</v>
      </c>
      <c r="AG154" s="2" t="inlineStr">
        <is>
          <t>Gen 2</t>
        </is>
      </c>
      <c r="AH154" s="3" t="n">
        <v>457.94</v>
      </c>
      <c r="AI154" s="4" t="n">
        <v>10.26</v>
      </c>
      <c r="AJ154" s="2" t="inlineStr"/>
    </row>
    <row r="155">
      <c r="A155" s="7" t="inlineStr">
        <is>
          <t>SKU-010</t>
        </is>
      </c>
      <c r="B155" s="7" t="inlineStr">
        <is>
          <t>Turret Cam 8MP 4K AI</t>
        </is>
      </c>
      <c r="C155" s="7" t="inlineStr">
        <is>
          <t>Turret</t>
        </is>
      </c>
      <c r="D155" s="7" t="inlineStr">
        <is>
          <t>8MP (4K)</t>
        </is>
      </c>
      <c r="E155" s="7" t="inlineStr">
        <is>
          <t>AI-enabled</t>
        </is>
      </c>
      <c r="F155" s="7" t="inlineStr">
        <is>
          <t>Outdoor</t>
        </is>
      </c>
      <c r="G155" s="7" t="inlineStr">
        <is>
          <t>IP66</t>
        </is>
      </c>
      <c r="H155" s="8" t="n">
        <v>873.6</v>
      </c>
      <c r="I155" s="9" t="n">
        <v>710.59</v>
      </c>
      <c r="J155" s="10" t="n">
        <v>0.1866</v>
      </c>
      <c r="K155" s="9" t="n">
        <v>163.01</v>
      </c>
      <c r="L155" s="7" t="inlineStr">
        <is>
          <t>Volume</t>
        </is>
      </c>
      <c r="M155" s="9" t="n">
        <v>710.59</v>
      </c>
      <c r="N155" s="8" t="n">
        <v>367.63</v>
      </c>
      <c r="O155" s="8" t="n">
        <v>34.69</v>
      </c>
      <c r="P155" s="8" t="n">
        <v>20.95</v>
      </c>
      <c r="Q155" s="9" t="n">
        <v>423.27</v>
      </c>
      <c r="R155" s="9">
        <f>M155-Q155</f>
        <v/>
      </c>
      <c r="S155" s="10">
        <f>IF(M155=0,"-",(R155/M155))</f>
        <v/>
      </c>
      <c r="T155" s="11" t="n">
        <v>42</v>
      </c>
      <c r="U155" s="9">
        <f>M155*T155</f>
        <v/>
      </c>
      <c r="V155" s="9">
        <f>Q155*T155</f>
        <v/>
      </c>
      <c r="W155" s="9">
        <f>U155-V155</f>
        <v/>
      </c>
      <c r="X155" s="7" t="inlineStr">
        <is>
          <t>SkyNet Resellers</t>
        </is>
      </c>
      <c r="Y155" s="7" t="inlineStr">
        <is>
          <t>Reseller</t>
        </is>
      </c>
      <c r="Z155" s="7" t="inlineStr">
        <is>
          <t>City Surveillance Phase 1</t>
        </is>
      </c>
      <c r="AA155" s="7" t="inlineStr">
        <is>
          <t>Industrial</t>
        </is>
      </c>
      <c r="AB155" s="7" t="inlineStr">
        <is>
          <t>Vietnam</t>
        </is>
      </c>
      <c r="AC155" s="7" t="inlineStr">
        <is>
          <t>Distribution</t>
        </is>
      </c>
      <c r="AD155" s="7" t="n">
        <v>2024</v>
      </c>
      <c r="AE155" s="7" t="inlineStr">
        <is>
          <t>Bundle</t>
        </is>
      </c>
      <c r="AF155" s="7" t="n">
        <v>12</v>
      </c>
      <c r="AG155" s="7" t="inlineStr">
        <is>
          <t>Gen 2</t>
        </is>
      </c>
      <c r="AH155" s="8" t="n">
        <v>736.6900000000001</v>
      </c>
      <c r="AI155" s="9" t="n">
        <v>-26.1</v>
      </c>
      <c r="AJ155" s="7" t="inlineStr">
        <is>
          <t>Standard deal</t>
        </is>
      </c>
    </row>
    <row r="156">
      <c r="A156" s="2" t="inlineStr">
        <is>
          <t>SKU-001</t>
        </is>
      </c>
      <c r="B156" s="2" t="inlineStr">
        <is>
          <t>Dome Cam 2MP Indoor</t>
        </is>
      </c>
      <c r="C156" s="2" t="inlineStr">
        <is>
          <t>Dome</t>
        </is>
      </c>
      <c r="D156" s="2" t="inlineStr">
        <is>
          <t>2MP</t>
        </is>
      </c>
      <c r="E156" s="2" t="inlineStr">
        <is>
          <t>IP</t>
        </is>
      </c>
      <c r="F156" s="2" t="inlineStr">
        <is>
          <t>Indoor</t>
        </is>
      </c>
      <c r="G156" s="2" t="inlineStr">
        <is>
          <t>IP65</t>
        </is>
      </c>
      <c r="H156" s="3" t="n">
        <v>201.6</v>
      </c>
      <c r="I156" s="4" t="n">
        <v>170.96</v>
      </c>
      <c r="J156" s="5" t="n">
        <v>0.152</v>
      </c>
      <c r="K156" s="4" t="n">
        <v>30.64</v>
      </c>
      <c r="L156" s="2" t="inlineStr">
        <is>
          <t>Volume</t>
        </is>
      </c>
      <c r="M156" s="4" t="n">
        <v>170.96</v>
      </c>
      <c r="N156" s="3" t="n">
        <v>89.14</v>
      </c>
      <c r="O156" s="3" t="n">
        <v>7</v>
      </c>
      <c r="P156" s="3" t="n">
        <v>1.9</v>
      </c>
      <c r="Q156" s="4" t="n">
        <v>98.04000000000001</v>
      </c>
      <c r="R156" s="4">
        <f>M156-Q156</f>
        <v/>
      </c>
      <c r="S156" s="5">
        <f>IF(M156=0,"-",(R156/M156))</f>
        <v/>
      </c>
      <c r="T156" s="6" t="n">
        <v>47</v>
      </c>
      <c r="U156" s="4">
        <f>M156*T156</f>
        <v/>
      </c>
      <c r="V156" s="4">
        <f>Q156*T156</f>
        <v/>
      </c>
      <c r="W156" s="4">
        <f>U156-V156</f>
        <v/>
      </c>
      <c r="X156" s="2" t="inlineStr">
        <is>
          <t>TechDist Asia</t>
        </is>
      </c>
      <c r="Y156" s="2" t="inlineStr">
        <is>
          <t>Distributor</t>
        </is>
      </c>
      <c r="Z156" s="2" t="inlineStr">
        <is>
          <t>Warehouse Monitoring</t>
        </is>
      </c>
      <c r="AA156" s="2" t="inlineStr">
        <is>
          <t>Retail</t>
        </is>
      </c>
      <c r="AB156" s="2" t="inlineStr">
        <is>
          <t>Indonesia</t>
        </is>
      </c>
      <c r="AC156" s="2" t="inlineStr">
        <is>
          <t>Direct</t>
        </is>
      </c>
      <c r="AD156" s="2" t="n">
        <v>2024</v>
      </c>
      <c r="AE156" s="2" t="inlineStr">
        <is>
          <t>Bundle</t>
        </is>
      </c>
      <c r="AF156" s="2" t="n">
        <v>12</v>
      </c>
      <c r="AG156" s="2" t="inlineStr">
        <is>
          <t>Gen 2</t>
        </is>
      </c>
      <c r="AH156" s="3" t="n">
        <v>174.69</v>
      </c>
      <c r="AI156" s="4" t="n">
        <v>-3.73</v>
      </c>
      <c r="AJ156" s="2" t="inlineStr">
        <is>
          <t>Rush order</t>
        </is>
      </c>
    </row>
    <row r="157">
      <c r="A157" s="7" t="inlineStr">
        <is>
          <t>SKU-010</t>
        </is>
      </c>
      <c r="B157" s="7" t="inlineStr">
        <is>
          <t>Turret Cam 8MP 4K AI</t>
        </is>
      </c>
      <c r="C157" s="7" t="inlineStr">
        <is>
          <t>Turret</t>
        </is>
      </c>
      <c r="D157" s="7" t="inlineStr">
        <is>
          <t>8MP (4K)</t>
        </is>
      </c>
      <c r="E157" s="7" t="inlineStr">
        <is>
          <t>AI-enabled</t>
        </is>
      </c>
      <c r="F157" s="7" t="inlineStr">
        <is>
          <t>Outdoor</t>
        </is>
      </c>
      <c r="G157" s="7" t="inlineStr">
        <is>
          <t>IP66</t>
        </is>
      </c>
      <c r="H157" s="8" t="n">
        <v>873.6</v>
      </c>
      <c r="I157" s="9" t="n">
        <v>814.8099999999999</v>
      </c>
      <c r="J157" s="10" t="n">
        <v>0.0673</v>
      </c>
      <c r="K157" s="9" t="n">
        <v>58.79</v>
      </c>
      <c r="L157" s="7" t="inlineStr">
        <is>
          <t>Tender</t>
        </is>
      </c>
      <c r="M157" s="9" t="n">
        <v>814.8099999999999</v>
      </c>
      <c r="N157" s="8" t="n">
        <v>383.54</v>
      </c>
      <c r="O157" s="8" t="n">
        <v>29.4</v>
      </c>
      <c r="P157" s="8" t="n">
        <v>10.33</v>
      </c>
      <c r="Q157" s="9" t="n">
        <v>423.27</v>
      </c>
      <c r="R157" s="9">
        <f>M157-Q157</f>
        <v/>
      </c>
      <c r="S157" s="10">
        <f>IF(M157=0,"-",(R157/M157))</f>
        <v/>
      </c>
      <c r="T157" s="11" t="n">
        <v>40</v>
      </c>
      <c r="U157" s="9">
        <f>M157*T157</f>
        <v/>
      </c>
      <c r="V157" s="9">
        <f>Q157*T157</f>
        <v/>
      </c>
      <c r="W157" s="9">
        <f>U157-V157</f>
        <v/>
      </c>
      <c r="X157" s="7" t="inlineStr">
        <is>
          <t>Metro Retail Group</t>
        </is>
      </c>
      <c r="Y157" s="7" t="inlineStr">
        <is>
          <t>End User</t>
        </is>
      </c>
      <c r="Z157" s="7" t="inlineStr">
        <is>
          <t>Smart City Initiative</t>
        </is>
      </c>
      <c r="AA157" s="7" t="inlineStr">
        <is>
          <t>Government</t>
        </is>
      </c>
      <c r="AB157" s="7" t="inlineStr">
        <is>
          <t>Indonesia</t>
        </is>
      </c>
      <c r="AC157" s="7" t="inlineStr">
        <is>
          <t>Distribution</t>
        </is>
      </c>
      <c r="AD157" s="7" t="n">
        <v>2024</v>
      </c>
      <c r="AE157" s="7" t="inlineStr">
        <is>
          <t>Bundle</t>
        </is>
      </c>
      <c r="AF157" s="7" t="n">
        <v>36</v>
      </c>
      <c r="AG157" s="7" t="inlineStr">
        <is>
          <t>Gen 1</t>
        </is>
      </c>
      <c r="AH157" s="8" t="n">
        <v>727.02</v>
      </c>
      <c r="AI157" s="9" t="n">
        <v>87.79000000000001</v>
      </c>
      <c r="AJ157" s="7" t="inlineStr">
        <is>
          <t>Matched quote</t>
        </is>
      </c>
    </row>
    <row r="158">
      <c r="A158" s="2" t="inlineStr">
        <is>
          <t>SKU-002</t>
        </is>
      </c>
      <c r="B158" s="2" t="inlineStr">
        <is>
          <t>Dome Cam 4MP IR</t>
        </is>
      </c>
      <c r="C158" s="2" t="inlineStr">
        <is>
          <t>Dome</t>
        </is>
      </c>
      <c r="D158" s="2" t="inlineStr">
        <is>
          <t>4MP</t>
        </is>
      </c>
      <c r="E158" s="2" t="inlineStr">
        <is>
          <t>IP</t>
        </is>
      </c>
      <c r="F158" s="2" t="inlineStr">
        <is>
          <t>Outdoor</t>
        </is>
      </c>
      <c r="G158" s="2" t="inlineStr">
        <is>
          <t>IP66</t>
        </is>
      </c>
      <c r="H158" s="3" t="n">
        <v>358.4</v>
      </c>
      <c r="I158" s="4" t="n">
        <v>290.81</v>
      </c>
      <c r="J158" s="5" t="n">
        <v>0.1886</v>
      </c>
      <c r="K158" s="4" t="n">
        <v>67.59</v>
      </c>
      <c r="L158" s="2" t="inlineStr">
        <is>
          <t>Tender</t>
        </is>
      </c>
      <c r="M158" s="4" t="n">
        <v>290.81</v>
      </c>
      <c r="N158" s="3" t="n">
        <v>163.77</v>
      </c>
      <c r="O158" s="3" t="n">
        <v>13.87</v>
      </c>
      <c r="P158" s="3" t="n">
        <v>8.32</v>
      </c>
      <c r="Q158" s="4" t="n">
        <v>185.96</v>
      </c>
      <c r="R158" s="4">
        <f>M158-Q158</f>
        <v/>
      </c>
      <c r="S158" s="5">
        <f>IF(M158=0,"-",(R158/M158))</f>
        <v/>
      </c>
      <c r="T158" s="6" t="n">
        <v>60</v>
      </c>
      <c r="U158" s="4">
        <f>M158*T158</f>
        <v/>
      </c>
      <c r="V158" s="4">
        <f>Q158*T158</f>
        <v/>
      </c>
      <c r="W158" s="4">
        <f>U158-V158</f>
        <v/>
      </c>
      <c r="X158" s="2" t="inlineStr">
        <is>
          <t>GovTech Singapore</t>
        </is>
      </c>
      <c r="Y158" s="2" t="inlineStr">
        <is>
          <t>End User</t>
        </is>
      </c>
      <c r="Z158" s="2" t="inlineStr">
        <is>
          <t>Smart City Initiative</t>
        </is>
      </c>
      <c r="AA158" s="2" t="inlineStr">
        <is>
          <t>Retail</t>
        </is>
      </c>
      <c r="AB158" s="2" t="inlineStr">
        <is>
          <t>Thailand</t>
        </is>
      </c>
      <c r="AC158" s="2" t="inlineStr">
        <is>
          <t>Distribution</t>
        </is>
      </c>
      <c r="AD158" s="2" t="n">
        <v>2024</v>
      </c>
      <c r="AE158" s="2" t="inlineStr">
        <is>
          <t>Bundle</t>
        </is>
      </c>
      <c r="AF158" s="2" t="n">
        <v>24</v>
      </c>
      <c r="AG158" s="2" t="inlineStr">
        <is>
          <t>Gen 2</t>
        </is>
      </c>
      <c r="AH158" s="3" t="n">
        <v>291.32</v>
      </c>
      <c r="AI158" s="4" t="n">
        <v>-0.51</v>
      </c>
      <c r="AJ158" s="2" t="inlineStr">
        <is>
          <t>End-of-life stock</t>
        </is>
      </c>
    </row>
    <row r="159">
      <c r="A159" s="7" t="inlineStr">
        <is>
          <t>SKU-001</t>
        </is>
      </c>
      <c r="B159" s="7" t="inlineStr">
        <is>
          <t>Dome Cam 2MP Indoor</t>
        </is>
      </c>
      <c r="C159" s="7" t="inlineStr">
        <is>
          <t>Dome</t>
        </is>
      </c>
      <c r="D159" s="7" t="inlineStr">
        <is>
          <t>2MP</t>
        </is>
      </c>
      <c r="E159" s="7" t="inlineStr">
        <is>
          <t>IP</t>
        </is>
      </c>
      <c r="F159" s="7" t="inlineStr">
        <is>
          <t>Indoor</t>
        </is>
      </c>
      <c r="G159" s="7" t="inlineStr">
        <is>
          <t>IP65</t>
        </is>
      </c>
      <c r="H159" s="8" t="n">
        <v>201.6</v>
      </c>
      <c r="I159" s="9" t="n">
        <v>157.43</v>
      </c>
      <c r="J159" s="10" t="n">
        <v>0.2191</v>
      </c>
      <c r="K159" s="9" t="n">
        <v>44.17</v>
      </c>
      <c r="L159" s="7" t="inlineStr">
        <is>
          <t>Distributor</t>
        </is>
      </c>
      <c r="M159" s="9" t="n">
        <v>157.43</v>
      </c>
      <c r="N159" s="8" t="n">
        <v>92.43000000000001</v>
      </c>
      <c r="O159" s="8" t="n">
        <v>10.92</v>
      </c>
      <c r="P159" s="8" t="n">
        <v>2.48</v>
      </c>
      <c r="Q159" s="9" t="n">
        <v>105.83</v>
      </c>
      <c r="R159" s="9">
        <f>M159-Q159</f>
        <v/>
      </c>
      <c r="S159" s="10">
        <f>IF(M159=0,"-",(R159/M159))</f>
        <v/>
      </c>
      <c r="T159" s="11" t="n">
        <v>43</v>
      </c>
      <c r="U159" s="9">
        <f>M159*T159</f>
        <v/>
      </c>
      <c r="V159" s="9">
        <f>Q159*T159</f>
        <v/>
      </c>
      <c r="W159" s="9">
        <f>U159-V159</f>
        <v/>
      </c>
      <c r="X159" s="7" t="inlineStr">
        <is>
          <t>SkyNet Resellers</t>
        </is>
      </c>
      <c r="Y159" s="7" t="inlineStr">
        <is>
          <t>Reseller</t>
        </is>
      </c>
      <c r="Z159" s="7" t="inlineStr">
        <is>
          <t>Hospital Perimeter Security</t>
        </is>
      </c>
      <c r="AA159" s="7" t="inlineStr">
        <is>
          <t>Industrial</t>
        </is>
      </c>
      <c r="AB159" s="7" t="inlineStr">
        <is>
          <t>Vietnam</t>
        </is>
      </c>
      <c r="AC159" s="7" t="inlineStr">
        <is>
          <t>Distribution</t>
        </is>
      </c>
      <c r="AD159" s="7" t="n">
        <v>2024</v>
      </c>
      <c r="AE159" s="7" t="inlineStr">
        <is>
          <t>Standalone</t>
        </is>
      </c>
      <c r="AF159" s="7" t="n">
        <v>24</v>
      </c>
      <c r="AG159" s="7" t="inlineStr">
        <is>
          <t>Gen 2</t>
        </is>
      </c>
      <c r="AH159" s="8" t="n">
        <v>175.87</v>
      </c>
      <c r="AI159" s="9" t="n">
        <v>-18.44</v>
      </c>
      <c r="AJ159" s="7" t="inlineStr"/>
    </row>
    <row r="160">
      <c r="A160" s="2" t="inlineStr">
        <is>
          <t>SKU-004</t>
        </is>
      </c>
      <c r="B160" s="2" t="inlineStr">
        <is>
          <t>Bullet Cam 4MP AI</t>
        </is>
      </c>
      <c r="C160" s="2" t="inlineStr">
        <is>
          <t>Bullet</t>
        </is>
      </c>
      <c r="D160" s="2" t="inlineStr">
        <is>
          <t>4MP</t>
        </is>
      </c>
      <c r="E160" s="2" t="inlineStr">
        <is>
          <t>AI-enabled</t>
        </is>
      </c>
      <c r="F160" s="2" t="inlineStr">
        <is>
          <t>Outdoor</t>
        </is>
      </c>
      <c r="G160" s="2" t="inlineStr">
        <is>
          <t>IP67</t>
        </is>
      </c>
      <c r="H160" s="3" t="n">
        <v>537.6</v>
      </c>
      <c r="I160" s="4" t="n">
        <v>488.3</v>
      </c>
      <c r="J160" s="5" t="n">
        <v>0.0917</v>
      </c>
      <c r="K160" s="4" t="n">
        <v>49.3</v>
      </c>
      <c r="L160" s="2" t="inlineStr">
        <is>
          <t>Distributor</t>
        </is>
      </c>
      <c r="M160" s="4" t="n">
        <v>488.3</v>
      </c>
      <c r="N160" s="3" t="n">
        <v>231.1</v>
      </c>
      <c r="O160" s="3" t="n">
        <v>24.27</v>
      </c>
      <c r="P160" s="3" t="n">
        <v>8.84</v>
      </c>
      <c r="Q160" s="4" t="n">
        <v>264.21</v>
      </c>
      <c r="R160" s="4">
        <f>M160-Q160</f>
        <v/>
      </c>
      <c r="S160" s="5">
        <f>IF(M160=0,"-",(R160/M160))</f>
        <v/>
      </c>
      <c r="T160" s="6" t="n">
        <v>74</v>
      </c>
      <c r="U160" s="4">
        <f>M160*T160</f>
        <v/>
      </c>
      <c r="V160" s="4">
        <f>Q160*T160</f>
        <v/>
      </c>
      <c r="W160" s="4">
        <f>U160-V160</f>
        <v/>
      </c>
      <c r="X160" s="2" t="inlineStr">
        <is>
          <t>Pacific Security Hub</t>
        </is>
      </c>
      <c r="Y160" s="2" t="inlineStr">
        <is>
          <t>Distributor</t>
        </is>
      </c>
      <c r="Z160" s="2" t="inlineStr">
        <is>
          <t>Hospital Perimeter Security</t>
        </is>
      </c>
      <c r="AA160" s="2" t="inlineStr">
        <is>
          <t>Transport</t>
        </is>
      </c>
      <c r="AB160" s="2" t="inlineStr">
        <is>
          <t>Thailand</t>
        </is>
      </c>
      <c r="AC160" s="2" t="inlineStr">
        <is>
          <t>Distribution</t>
        </is>
      </c>
      <c r="AD160" s="2" t="n">
        <v>2024</v>
      </c>
      <c r="AE160" s="2" t="inlineStr">
        <is>
          <t>Standalone</t>
        </is>
      </c>
      <c r="AF160" s="2" t="n">
        <v>36</v>
      </c>
      <c r="AG160" s="2" t="inlineStr">
        <is>
          <t>Gen 1</t>
        </is>
      </c>
      <c r="AH160" s="3" t="n">
        <v>442.97</v>
      </c>
      <c r="AI160" s="4" t="n">
        <v>45.33</v>
      </c>
      <c r="AJ160" s="2" t="inlineStr">
        <is>
          <t>Rush order</t>
        </is>
      </c>
    </row>
    <row r="161">
      <c r="A161" s="7" t="inlineStr">
        <is>
          <t>SKU-003</t>
        </is>
      </c>
      <c r="B161" s="7" t="inlineStr">
        <is>
          <t>Bullet Cam 2MP</t>
        </is>
      </c>
      <c r="C161" s="7" t="inlineStr">
        <is>
          <t>Bullet</t>
        </is>
      </c>
      <c r="D161" s="7" t="inlineStr">
        <is>
          <t>2MP</t>
        </is>
      </c>
      <c r="E161" s="7" t="inlineStr">
        <is>
          <t>Analog</t>
        </is>
      </c>
      <c r="F161" s="7" t="inlineStr">
        <is>
          <t>Outdoor</t>
        </is>
      </c>
      <c r="G161" s="7" t="inlineStr">
        <is>
          <t>IP66</t>
        </is>
      </c>
      <c r="H161" s="8" t="n">
        <v>168</v>
      </c>
      <c r="I161" s="9" t="n">
        <v>133.56</v>
      </c>
      <c r="J161" s="10" t="n">
        <v>0.205</v>
      </c>
      <c r="K161" s="9" t="n">
        <v>34.44</v>
      </c>
      <c r="L161" s="7" t="inlineStr">
        <is>
          <t>Volume</t>
        </is>
      </c>
      <c r="M161" s="9" t="n">
        <v>133.56</v>
      </c>
      <c r="N161" s="8" t="n">
        <v>75.12</v>
      </c>
      <c r="O161" s="8" t="n">
        <v>5.91</v>
      </c>
      <c r="P161" s="8" t="n">
        <v>3.38</v>
      </c>
      <c r="Q161" s="9" t="n">
        <v>84.41</v>
      </c>
      <c r="R161" s="9">
        <f>M161-Q161</f>
        <v/>
      </c>
      <c r="S161" s="10">
        <f>IF(M161=0,"-",(R161/M161))</f>
        <v/>
      </c>
      <c r="T161" s="11" t="n">
        <v>40</v>
      </c>
      <c r="U161" s="9">
        <f>M161*T161</f>
        <v/>
      </c>
      <c r="V161" s="9">
        <f>Q161*T161</f>
        <v/>
      </c>
      <c r="W161" s="9">
        <f>U161-V161</f>
        <v/>
      </c>
      <c r="X161" s="7" t="inlineStr">
        <is>
          <t>Harbour Trust</t>
        </is>
      </c>
      <c r="Y161" s="7" t="inlineStr">
        <is>
          <t>End User</t>
        </is>
      </c>
      <c r="Z161" s="7" t="inlineStr">
        <is>
          <t>Airport Terminal Upgrade</t>
        </is>
      </c>
      <c r="AA161" s="7" t="inlineStr">
        <is>
          <t>Commercial</t>
        </is>
      </c>
      <c r="AB161" s="7" t="inlineStr">
        <is>
          <t>Thailand</t>
        </is>
      </c>
      <c r="AC161" s="7" t="inlineStr">
        <is>
          <t>Online</t>
        </is>
      </c>
      <c r="AD161" s="7" t="n">
        <v>2024</v>
      </c>
      <c r="AE161" s="7" t="inlineStr">
        <is>
          <t>Standalone</t>
        </is>
      </c>
      <c r="AF161" s="7" t="n">
        <v>24</v>
      </c>
      <c r="AG161" s="7" t="inlineStr">
        <is>
          <t>Gen 1</t>
        </is>
      </c>
      <c r="AH161" s="8" t="n">
        <v>139.28</v>
      </c>
      <c r="AI161" s="9" t="n">
        <v>-5.72</v>
      </c>
      <c r="AJ161" s="7" t="inlineStr"/>
    </row>
    <row r="162">
      <c r="A162" s="2" t="inlineStr">
        <is>
          <t>SKU-003</t>
        </is>
      </c>
      <c r="B162" s="2" t="inlineStr">
        <is>
          <t>Bullet Cam 2MP</t>
        </is>
      </c>
      <c r="C162" s="2" t="inlineStr">
        <is>
          <t>Bullet</t>
        </is>
      </c>
      <c r="D162" s="2" t="inlineStr">
        <is>
          <t>2MP</t>
        </is>
      </c>
      <c r="E162" s="2" t="inlineStr">
        <is>
          <t>Analog</t>
        </is>
      </c>
      <c r="F162" s="2" t="inlineStr">
        <is>
          <t>Outdoor</t>
        </is>
      </c>
      <c r="G162" s="2" t="inlineStr">
        <is>
          <t>IP66</t>
        </is>
      </c>
      <c r="H162" s="3" t="n">
        <v>168</v>
      </c>
      <c r="I162" s="4" t="n">
        <v>133.73</v>
      </c>
      <c r="J162" s="5" t="n">
        <v>0.204</v>
      </c>
      <c r="K162" s="4" t="n">
        <v>34.27</v>
      </c>
      <c r="L162" s="2" t="inlineStr">
        <is>
          <t>Tender</t>
        </is>
      </c>
      <c r="M162" s="4" t="n">
        <v>133.73</v>
      </c>
      <c r="N162" s="3" t="n">
        <v>73.12</v>
      </c>
      <c r="O162" s="3" t="n">
        <v>5.5</v>
      </c>
      <c r="P162" s="3" t="n">
        <v>4.74</v>
      </c>
      <c r="Q162" s="4" t="n">
        <v>83.36</v>
      </c>
      <c r="R162" s="4">
        <f>M162-Q162</f>
        <v/>
      </c>
      <c r="S162" s="5">
        <f>IF(M162=0,"-",(R162/M162))</f>
        <v/>
      </c>
      <c r="T162" s="6" t="n">
        <v>70</v>
      </c>
      <c r="U162" s="4">
        <f>M162*T162</f>
        <v/>
      </c>
      <c r="V162" s="4">
        <f>Q162*T162</f>
        <v/>
      </c>
      <c r="W162" s="4">
        <f>U162-V162</f>
        <v/>
      </c>
      <c r="X162" s="2" t="inlineStr">
        <is>
          <t>SkyNet Resellers</t>
        </is>
      </c>
      <c r="Y162" s="2" t="inlineStr">
        <is>
          <t>Reseller</t>
        </is>
      </c>
      <c r="Z162" s="2" t="inlineStr">
        <is>
          <t>Smart City Initiative</t>
        </is>
      </c>
      <c r="AA162" s="2" t="inlineStr">
        <is>
          <t>Government</t>
        </is>
      </c>
      <c r="AB162" s="2" t="inlineStr">
        <is>
          <t>Thailand</t>
        </is>
      </c>
      <c r="AC162" s="2" t="inlineStr">
        <is>
          <t>Online</t>
        </is>
      </c>
      <c r="AD162" s="2" t="n">
        <v>2024</v>
      </c>
      <c r="AE162" s="2" t="inlineStr">
        <is>
          <t>Standalone</t>
        </is>
      </c>
      <c r="AF162" s="2" t="n">
        <v>36</v>
      </c>
      <c r="AG162" s="2" t="inlineStr">
        <is>
          <t>Gen 2</t>
        </is>
      </c>
      <c r="AH162" s="3" t="n">
        <v>146.37</v>
      </c>
      <c r="AI162" s="4" t="n">
        <v>-12.64</v>
      </c>
      <c r="AJ162" s="2" t="inlineStr">
        <is>
          <t>Standard deal</t>
        </is>
      </c>
    </row>
    <row r="163">
      <c r="A163" s="7" t="inlineStr">
        <is>
          <t>SKU-002</t>
        </is>
      </c>
      <c r="B163" s="7" t="inlineStr">
        <is>
          <t>Dome Cam 4MP IR</t>
        </is>
      </c>
      <c r="C163" s="7" t="inlineStr">
        <is>
          <t>Dome</t>
        </is>
      </c>
      <c r="D163" s="7" t="inlineStr">
        <is>
          <t>4MP</t>
        </is>
      </c>
      <c r="E163" s="7" t="inlineStr">
        <is>
          <t>IP</t>
        </is>
      </c>
      <c r="F163" s="7" t="inlineStr">
        <is>
          <t>Outdoor</t>
        </is>
      </c>
      <c r="G163" s="7" t="inlineStr">
        <is>
          <t>IP66</t>
        </is>
      </c>
      <c r="H163" s="8" t="n">
        <v>358.4</v>
      </c>
      <c r="I163" s="9" t="n">
        <v>339.87</v>
      </c>
      <c r="J163" s="10" t="n">
        <v>0.0517</v>
      </c>
      <c r="K163" s="9" t="n">
        <v>18.53</v>
      </c>
      <c r="L163" s="7" t="inlineStr">
        <is>
          <t>Project Bid</t>
        </is>
      </c>
      <c r="M163" s="9" t="n">
        <v>339.87</v>
      </c>
      <c r="N163" s="8" t="n">
        <v>150.62</v>
      </c>
      <c r="O163" s="8" t="n">
        <v>9.869999999999999</v>
      </c>
      <c r="P163" s="8" t="n">
        <v>8.640000000000001</v>
      </c>
      <c r="Q163" s="9" t="n">
        <v>169.13</v>
      </c>
      <c r="R163" s="9">
        <f>M163-Q163</f>
        <v/>
      </c>
      <c r="S163" s="10">
        <f>IF(M163=0,"-",(R163/M163))</f>
        <v/>
      </c>
      <c r="T163" s="11" t="n">
        <v>73</v>
      </c>
      <c r="U163" s="9">
        <f>M163*T163</f>
        <v/>
      </c>
      <c r="V163" s="9">
        <f>Q163*T163</f>
        <v/>
      </c>
      <c r="W163" s="9">
        <f>U163-V163</f>
        <v/>
      </c>
      <c r="X163" s="7" t="inlineStr">
        <is>
          <t>Changi Airport Group</t>
        </is>
      </c>
      <c r="Y163" s="7" t="inlineStr">
        <is>
          <t>End User</t>
        </is>
      </c>
      <c r="Z163" s="7" t="inlineStr">
        <is>
          <t>Hospital Perimeter Security</t>
        </is>
      </c>
      <c r="AA163" s="7" t="inlineStr">
        <is>
          <t>Transport</t>
        </is>
      </c>
      <c r="AB163" s="7" t="inlineStr">
        <is>
          <t>Philippines</t>
        </is>
      </c>
      <c r="AC163" s="7" t="inlineStr">
        <is>
          <t>Online</t>
        </is>
      </c>
      <c r="AD163" s="7" t="n">
        <v>2024</v>
      </c>
      <c r="AE163" s="7" t="inlineStr">
        <is>
          <t>Standalone</t>
        </is>
      </c>
      <c r="AF163" s="7" t="n">
        <v>24</v>
      </c>
      <c r="AG163" s="7" t="inlineStr">
        <is>
          <t>Gen 2</t>
        </is>
      </c>
      <c r="AH163" s="8" t="n">
        <v>311.69</v>
      </c>
      <c r="AI163" s="9" t="n">
        <v>28.18</v>
      </c>
      <c r="AJ163" s="7" t="inlineStr">
        <is>
          <t>Rush order</t>
        </is>
      </c>
    </row>
    <row r="164">
      <c r="A164" s="2" t="inlineStr">
        <is>
          <t>SKU-004</t>
        </is>
      </c>
      <c r="B164" s="2" t="inlineStr">
        <is>
          <t>Bullet Cam 4MP AI</t>
        </is>
      </c>
      <c r="C164" s="2" t="inlineStr">
        <is>
          <t>Bullet</t>
        </is>
      </c>
      <c r="D164" s="2" t="inlineStr">
        <is>
          <t>4MP</t>
        </is>
      </c>
      <c r="E164" s="2" t="inlineStr">
        <is>
          <t>AI-enabled</t>
        </is>
      </c>
      <c r="F164" s="2" t="inlineStr">
        <is>
          <t>Outdoor</t>
        </is>
      </c>
      <c r="G164" s="2" t="inlineStr">
        <is>
          <t>IP67</t>
        </is>
      </c>
      <c r="H164" s="3" t="n">
        <v>537.6</v>
      </c>
      <c r="I164" s="4" t="n">
        <v>486.53</v>
      </c>
      <c r="J164" s="5" t="n">
        <v>0.095</v>
      </c>
      <c r="K164" s="4" t="n">
        <v>51.07</v>
      </c>
      <c r="L164" s="2" t="inlineStr">
        <is>
          <t>Loyalty</t>
        </is>
      </c>
      <c r="M164" s="4" t="n">
        <v>486.53</v>
      </c>
      <c r="N164" s="3" t="n">
        <v>234.79</v>
      </c>
      <c r="O164" s="3" t="n">
        <v>26.87</v>
      </c>
      <c r="P164" s="3" t="n">
        <v>5.7</v>
      </c>
      <c r="Q164" s="4" t="n">
        <v>267.36</v>
      </c>
      <c r="R164" s="4">
        <f>M164-Q164</f>
        <v/>
      </c>
      <c r="S164" s="5">
        <f>IF(M164=0,"-",(R164/M164))</f>
        <v/>
      </c>
      <c r="T164" s="6" t="n">
        <v>20</v>
      </c>
      <c r="U164" s="4">
        <f>M164*T164</f>
        <v/>
      </c>
      <c r="V164" s="4">
        <f>Q164*T164</f>
        <v/>
      </c>
      <c r="W164" s="4">
        <f>U164-V164</f>
        <v/>
      </c>
      <c r="X164" s="2" t="inlineStr">
        <is>
          <t>Pacific Security Hub</t>
        </is>
      </c>
      <c r="Y164" s="2" t="inlineStr">
        <is>
          <t>Distributor</t>
        </is>
      </c>
      <c r="Z164" s="2" t="inlineStr">
        <is>
          <t>Hospital Perimeter Security</t>
        </is>
      </c>
      <c r="AA164" s="2" t="inlineStr">
        <is>
          <t>Healthcare</t>
        </is>
      </c>
      <c r="AB164" s="2" t="inlineStr">
        <is>
          <t>Thailand</t>
        </is>
      </c>
      <c r="AC164" s="2" t="inlineStr">
        <is>
          <t>Online</t>
        </is>
      </c>
      <c r="AD164" s="2" t="n">
        <v>2024</v>
      </c>
      <c r="AE164" s="2" t="inlineStr">
        <is>
          <t>Bundle</t>
        </is>
      </c>
      <c r="AF164" s="2" t="n">
        <v>24</v>
      </c>
      <c r="AG164" s="2" t="inlineStr">
        <is>
          <t>Gen 1</t>
        </is>
      </c>
      <c r="AH164" s="3" t="n">
        <v>452.55</v>
      </c>
      <c r="AI164" s="4" t="n">
        <v>33.98</v>
      </c>
      <c r="AJ164" s="2" t="inlineStr">
        <is>
          <t>End-of-life stock</t>
        </is>
      </c>
    </row>
    <row r="165">
      <c r="A165" s="7" t="inlineStr">
        <is>
          <t>SKU-008</t>
        </is>
      </c>
      <c r="B165" s="7" t="inlineStr">
        <is>
          <t>Thermal Cam</t>
        </is>
      </c>
      <c r="C165" s="7" t="inlineStr">
        <is>
          <t>Bullet</t>
        </is>
      </c>
      <c r="D165" s="7" t="inlineStr">
        <is>
          <t>2MP</t>
        </is>
      </c>
      <c r="E165" s="7" t="inlineStr">
        <is>
          <t>Thermal</t>
        </is>
      </c>
      <c r="F165" s="7" t="inlineStr">
        <is>
          <t>Outdoor</t>
        </is>
      </c>
      <c r="G165" s="7" t="inlineStr">
        <is>
          <t>IP67</t>
        </is>
      </c>
      <c r="H165" s="8" t="n">
        <v>2688</v>
      </c>
      <c r="I165" s="9" t="n">
        <v>2429.68</v>
      </c>
      <c r="J165" s="10" t="n">
        <v>0.0961</v>
      </c>
      <c r="K165" s="9" t="n">
        <v>258.32</v>
      </c>
      <c r="L165" s="7" t="inlineStr">
        <is>
          <t>Project Bid</t>
        </is>
      </c>
      <c r="M165" s="9" t="n">
        <v>2429.68</v>
      </c>
      <c r="N165" s="8" t="n">
        <v>1154.7</v>
      </c>
      <c r="O165" s="8" t="n">
        <v>123.22</v>
      </c>
      <c r="P165" s="8" t="n">
        <v>29.74</v>
      </c>
      <c r="Q165" s="9" t="n">
        <v>1307.66</v>
      </c>
      <c r="R165" s="9">
        <f>M165-Q165</f>
        <v/>
      </c>
      <c r="S165" s="10">
        <f>IF(M165=0,"-",(R165/M165))</f>
        <v/>
      </c>
      <c r="T165" s="11" t="n">
        <v>45</v>
      </c>
      <c r="U165" s="9">
        <f>M165*T165</f>
        <v/>
      </c>
      <c r="V165" s="9">
        <f>Q165*T165</f>
        <v/>
      </c>
      <c r="W165" s="9">
        <f>U165-V165</f>
        <v/>
      </c>
      <c r="X165" s="7" t="inlineStr">
        <is>
          <t>Changi Airport Group</t>
        </is>
      </c>
      <c r="Y165" s="7" t="inlineStr">
        <is>
          <t>End User</t>
        </is>
      </c>
      <c r="Z165" s="7" t="inlineStr">
        <is>
          <t>CBD Traffic Surveillance</t>
        </is>
      </c>
      <c r="AA165" s="7" t="inlineStr">
        <is>
          <t>Healthcare</t>
        </is>
      </c>
      <c r="AB165" s="7" t="inlineStr">
        <is>
          <t>Indonesia</t>
        </is>
      </c>
      <c r="AC165" s="7" t="inlineStr">
        <is>
          <t>Distribution</t>
        </is>
      </c>
      <c r="AD165" s="7" t="n">
        <v>2024</v>
      </c>
      <c r="AE165" s="7" t="inlineStr">
        <is>
          <t>Standalone</t>
        </is>
      </c>
      <c r="AF165" s="7" t="n">
        <v>36</v>
      </c>
      <c r="AG165" s="7" t="inlineStr">
        <is>
          <t>Gen 2</t>
        </is>
      </c>
      <c r="AH165" s="8" t="n">
        <v>2359.41</v>
      </c>
      <c r="AI165" s="9" t="n">
        <v>70.27</v>
      </c>
      <c r="AJ165" s="7" t="inlineStr"/>
    </row>
    <row r="166">
      <c r="A166" s="2" t="inlineStr">
        <is>
          <t>SKU-003</t>
        </is>
      </c>
      <c r="B166" s="2" t="inlineStr">
        <is>
          <t>Bullet Cam 2MP</t>
        </is>
      </c>
      <c r="C166" s="2" t="inlineStr">
        <is>
          <t>Bullet</t>
        </is>
      </c>
      <c r="D166" s="2" t="inlineStr">
        <is>
          <t>2MP</t>
        </is>
      </c>
      <c r="E166" s="2" t="inlineStr">
        <is>
          <t>Analog</t>
        </is>
      </c>
      <c r="F166" s="2" t="inlineStr">
        <is>
          <t>Outdoor</t>
        </is>
      </c>
      <c r="G166" s="2" t="inlineStr">
        <is>
          <t>IP66</t>
        </is>
      </c>
      <c r="H166" s="3" t="n">
        <v>168</v>
      </c>
      <c r="I166" s="4" t="n">
        <v>139.69</v>
      </c>
      <c r="J166" s="5" t="n">
        <v>0.1685</v>
      </c>
      <c r="K166" s="4" t="n">
        <v>28.31</v>
      </c>
      <c r="L166" s="2" t="inlineStr">
        <is>
          <t>Distributor</t>
        </is>
      </c>
      <c r="M166" s="4" t="n">
        <v>139.69</v>
      </c>
      <c r="N166" s="3" t="n">
        <v>74.97</v>
      </c>
      <c r="O166" s="3" t="n">
        <v>4.73</v>
      </c>
      <c r="P166" s="3" t="n">
        <v>3.96</v>
      </c>
      <c r="Q166" s="4" t="n">
        <v>83.66</v>
      </c>
      <c r="R166" s="4">
        <f>M166-Q166</f>
        <v/>
      </c>
      <c r="S166" s="5">
        <f>IF(M166=0,"-",(R166/M166))</f>
        <v/>
      </c>
      <c r="T166" s="6" t="n">
        <v>52</v>
      </c>
      <c r="U166" s="4">
        <f>M166*T166</f>
        <v/>
      </c>
      <c r="V166" s="4">
        <f>Q166*T166</f>
        <v/>
      </c>
      <c r="W166" s="4">
        <f>U166-V166</f>
        <v/>
      </c>
      <c r="X166" s="2" t="inlineStr">
        <is>
          <t>Changi Airport Group</t>
        </is>
      </c>
      <c r="Y166" s="2" t="inlineStr">
        <is>
          <t>End User</t>
        </is>
      </c>
      <c r="Z166" s="2" t="inlineStr">
        <is>
          <t>CBD Traffic Surveillance</t>
        </is>
      </c>
      <c r="AA166" s="2" t="inlineStr">
        <is>
          <t>Transport</t>
        </is>
      </c>
      <c r="AB166" s="2" t="inlineStr">
        <is>
          <t>Vietnam</t>
        </is>
      </c>
      <c r="AC166" s="2" t="inlineStr">
        <is>
          <t>Direct</t>
        </is>
      </c>
      <c r="AD166" s="2" t="n">
        <v>2024</v>
      </c>
      <c r="AE166" s="2" t="inlineStr">
        <is>
          <t>Standalone</t>
        </is>
      </c>
      <c r="AF166" s="2" t="n">
        <v>24</v>
      </c>
      <c r="AG166" s="2" t="inlineStr">
        <is>
          <t>Gen 1</t>
        </is>
      </c>
      <c r="AH166" s="3" t="n">
        <v>134.99</v>
      </c>
      <c r="AI166" s="4" t="n">
        <v>4.7</v>
      </c>
      <c r="AJ166" s="2" t="inlineStr">
        <is>
          <t>Rush order</t>
        </is>
      </c>
    </row>
    <row r="167">
      <c r="A167" s="7" t="inlineStr">
        <is>
          <t>SKU-004</t>
        </is>
      </c>
      <c r="B167" s="7" t="inlineStr">
        <is>
          <t>Bullet Cam 4MP AI</t>
        </is>
      </c>
      <c r="C167" s="7" t="inlineStr">
        <is>
          <t>Bullet</t>
        </is>
      </c>
      <c r="D167" s="7" t="inlineStr">
        <is>
          <t>4MP</t>
        </is>
      </c>
      <c r="E167" s="7" t="inlineStr">
        <is>
          <t>AI-enabled</t>
        </is>
      </c>
      <c r="F167" s="7" t="inlineStr">
        <is>
          <t>Outdoor</t>
        </is>
      </c>
      <c r="G167" s="7" t="inlineStr">
        <is>
          <t>IP67</t>
        </is>
      </c>
      <c r="H167" s="8" t="n">
        <v>537.6</v>
      </c>
      <c r="I167" s="9" t="n">
        <v>426.91</v>
      </c>
      <c r="J167" s="10" t="n">
        <v>0.2059</v>
      </c>
      <c r="K167" s="9" t="n">
        <v>110.69</v>
      </c>
      <c r="L167" s="7" t="inlineStr">
        <is>
          <t>Volume</t>
        </is>
      </c>
      <c r="M167" s="9" t="n">
        <v>426.91</v>
      </c>
      <c r="N167" s="8" t="n">
        <v>237.02</v>
      </c>
      <c r="O167" s="8" t="n">
        <v>20.76</v>
      </c>
      <c r="P167" s="8" t="n">
        <v>9.08</v>
      </c>
      <c r="Q167" s="9" t="n">
        <v>266.86</v>
      </c>
      <c r="R167" s="9">
        <f>M167-Q167</f>
        <v/>
      </c>
      <c r="S167" s="10">
        <f>IF(M167=0,"-",(R167/M167))</f>
        <v/>
      </c>
      <c r="T167" s="11" t="n">
        <v>27</v>
      </c>
      <c r="U167" s="9">
        <f>M167*T167</f>
        <v/>
      </c>
      <c r="V167" s="9">
        <f>Q167*T167</f>
        <v/>
      </c>
      <c r="W167" s="9">
        <f>U167-V167</f>
        <v/>
      </c>
      <c r="X167" s="7" t="inlineStr">
        <is>
          <t>Pacific Security Hub</t>
        </is>
      </c>
      <c r="Y167" s="7" t="inlineStr">
        <is>
          <t>Distributor</t>
        </is>
      </c>
      <c r="Z167" s="7" t="inlineStr">
        <is>
          <t>Public Housing CCTV Program</t>
        </is>
      </c>
      <c r="AA167" s="7" t="inlineStr">
        <is>
          <t>Healthcare</t>
        </is>
      </c>
      <c r="AB167" s="7" t="inlineStr">
        <is>
          <t>Thailand</t>
        </is>
      </c>
      <c r="AC167" s="7" t="inlineStr">
        <is>
          <t>Direct</t>
        </is>
      </c>
      <c r="AD167" s="7" t="n">
        <v>2024</v>
      </c>
      <c r="AE167" s="7" t="inlineStr">
        <is>
          <t>Bundle</t>
        </is>
      </c>
      <c r="AF167" s="7" t="n">
        <v>24</v>
      </c>
      <c r="AG167" s="7" t="inlineStr">
        <is>
          <t>Gen 1</t>
        </is>
      </c>
      <c r="AH167" s="8" t="n">
        <v>459.6</v>
      </c>
      <c r="AI167" s="9" t="n">
        <v>-32.69</v>
      </c>
      <c r="AJ167" s="7" t="inlineStr">
        <is>
          <t>End-of-life stock</t>
        </is>
      </c>
    </row>
    <row r="168">
      <c r="A168" s="2" t="inlineStr">
        <is>
          <t>SKU-008</t>
        </is>
      </c>
      <c r="B168" s="2" t="inlineStr">
        <is>
          <t>Thermal Cam</t>
        </is>
      </c>
      <c r="C168" s="2" t="inlineStr">
        <is>
          <t>Bullet</t>
        </is>
      </c>
      <c r="D168" s="2" t="inlineStr">
        <is>
          <t>2MP</t>
        </is>
      </c>
      <c r="E168" s="2" t="inlineStr">
        <is>
          <t>Thermal</t>
        </is>
      </c>
      <c r="F168" s="2" t="inlineStr">
        <is>
          <t>Outdoor</t>
        </is>
      </c>
      <c r="G168" s="2" t="inlineStr">
        <is>
          <t>IP67</t>
        </is>
      </c>
      <c r="H168" s="3" t="n">
        <v>2688</v>
      </c>
      <c r="I168" s="4" t="n">
        <v>2242.33</v>
      </c>
      <c r="J168" s="5" t="n">
        <v>0.1658</v>
      </c>
      <c r="K168" s="4" t="n">
        <v>445.67</v>
      </c>
      <c r="L168" s="2" t="inlineStr">
        <is>
          <t>Tender</t>
        </is>
      </c>
      <c r="M168" s="4" t="n">
        <v>2242.33</v>
      </c>
      <c r="N168" s="3" t="n">
        <v>1216.63</v>
      </c>
      <c r="O168" s="3" t="n">
        <v>130.13</v>
      </c>
      <c r="P168" s="3" t="n">
        <v>67.28</v>
      </c>
      <c r="Q168" s="4" t="n">
        <v>1414.04</v>
      </c>
      <c r="R168" s="4">
        <f>M168-Q168</f>
        <v/>
      </c>
      <c r="S168" s="5">
        <f>IF(M168=0,"-",(R168/M168))</f>
        <v/>
      </c>
      <c r="T168" s="6" t="n">
        <v>40</v>
      </c>
      <c r="U168" s="4">
        <f>M168*T168</f>
        <v/>
      </c>
      <c r="V168" s="4">
        <f>Q168*T168</f>
        <v/>
      </c>
      <c r="W168" s="4">
        <f>U168-V168</f>
        <v/>
      </c>
      <c r="X168" s="2" t="inlineStr">
        <is>
          <t>Harbour Trust</t>
        </is>
      </c>
      <c r="Y168" s="2" t="inlineStr">
        <is>
          <t>End User</t>
        </is>
      </c>
      <c r="Z168" s="2" t="inlineStr">
        <is>
          <t>Hospital Perimeter Security</t>
        </is>
      </c>
      <c r="AA168" s="2" t="inlineStr">
        <is>
          <t>Education</t>
        </is>
      </c>
      <c r="AB168" s="2" t="inlineStr">
        <is>
          <t>Thailand</t>
        </is>
      </c>
      <c r="AC168" s="2" t="inlineStr">
        <is>
          <t>Online</t>
        </is>
      </c>
      <c r="AD168" s="2" t="n">
        <v>2024</v>
      </c>
      <c r="AE168" s="2" t="inlineStr">
        <is>
          <t>Bundle</t>
        </is>
      </c>
      <c r="AF168" s="2" t="n">
        <v>24</v>
      </c>
      <c r="AG168" s="2" t="inlineStr">
        <is>
          <t>Gen 2</t>
        </is>
      </c>
      <c r="AH168" s="3" t="n">
        <v>2446.73</v>
      </c>
      <c r="AI168" s="4" t="n">
        <v>-204.4</v>
      </c>
      <c r="AJ168" s="2" t="inlineStr">
        <is>
          <t>Rush order</t>
        </is>
      </c>
    </row>
    <row r="169">
      <c r="A169" s="7" t="inlineStr">
        <is>
          <t>SKU-002</t>
        </is>
      </c>
      <c r="B169" s="7" t="inlineStr">
        <is>
          <t>Dome Cam 4MP IR</t>
        </is>
      </c>
      <c r="C169" s="7" t="inlineStr">
        <is>
          <t>Dome</t>
        </is>
      </c>
      <c r="D169" s="7" t="inlineStr">
        <is>
          <t>4MP</t>
        </is>
      </c>
      <c r="E169" s="7" t="inlineStr">
        <is>
          <t>IP</t>
        </is>
      </c>
      <c r="F169" s="7" t="inlineStr">
        <is>
          <t>Outdoor</t>
        </is>
      </c>
      <c r="G169" s="7" t="inlineStr">
        <is>
          <t>IP66</t>
        </is>
      </c>
      <c r="H169" s="8" t="n">
        <v>358.4</v>
      </c>
      <c r="I169" s="9" t="n">
        <v>314.68</v>
      </c>
      <c r="J169" s="10" t="n">
        <v>0.122</v>
      </c>
      <c r="K169" s="9" t="n">
        <v>43.72</v>
      </c>
      <c r="L169" s="7" t="inlineStr">
        <is>
          <t>Project Bid</t>
        </is>
      </c>
      <c r="M169" s="9" t="n">
        <v>314.68</v>
      </c>
      <c r="N169" s="8" t="n">
        <v>156.97</v>
      </c>
      <c r="O169" s="8" t="n">
        <v>9.359999999999999</v>
      </c>
      <c r="P169" s="8" t="n">
        <v>6.15</v>
      </c>
      <c r="Q169" s="9" t="n">
        <v>172.48</v>
      </c>
      <c r="R169" s="9">
        <f>M169-Q169</f>
        <v/>
      </c>
      <c r="S169" s="10">
        <f>IF(M169=0,"-",(R169/M169))</f>
        <v/>
      </c>
      <c r="T169" s="11" t="n">
        <v>25</v>
      </c>
      <c r="U169" s="9">
        <f>M169*T169</f>
        <v/>
      </c>
      <c r="V169" s="9">
        <f>Q169*T169</f>
        <v/>
      </c>
      <c r="W169" s="9">
        <f>U169-V169</f>
        <v/>
      </c>
      <c r="X169" s="7" t="inlineStr">
        <is>
          <t>GovTech Singapore</t>
        </is>
      </c>
      <c r="Y169" s="7" t="inlineStr">
        <is>
          <t>End User</t>
        </is>
      </c>
      <c r="Z169" s="7" t="inlineStr">
        <is>
          <t>Hospital Perimeter Security</t>
        </is>
      </c>
      <c r="AA169" s="7" t="inlineStr">
        <is>
          <t>Government</t>
        </is>
      </c>
      <c r="AB169" s="7" t="inlineStr">
        <is>
          <t>Malaysia</t>
        </is>
      </c>
      <c r="AC169" s="7" t="inlineStr">
        <is>
          <t>Distribution</t>
        </is>
      </c>
      <c r="AD169" s="7" t="n">
        <v>2024</v>
      </c>
      <c r="AE169" s="7" t="inlineStr">
        <is>
          <t>Bundle</t>
        </is>
      </c>
      <c r="AF169" s="7" t="n">
        <v>24</v>
      </c>
      <c r="AG169" s="7" t="inlineStr">
        <is>
          <t>Gen 1</t>
        </is>
      </c>
      <c r="AH169" s="8" t="n">
        <v>307.65</v>
      </c>
      <c r="AI169" s="9" t="n">
        <v>7.03</v>
      </c>
      <c r="AJ169" s="7" t="inlineStr">
        <is>
          <t>Rush order</t>
        </is>
      </c>
    </row>
    <row r="170">
      <c r="A170" s="2" t="inlineStr">
        <is>
          <t>SKU-003</t>
        </is>
      </c>
      <c r="B170" s="2" t="inlineStr">
        <is>
          <t>Bullet Cam 2MP</t>
        </is>
      </c>
      <c r="C170" s="2" t="inlineStr">
        <is>
          <t>Bullet</t>
        </is>
      </c>
      <c r="D170" s="2" t="inlineStr">
        <is>
          <t>2MP</t>
        </is>
      </c>
      <c r="E170" s="2" t="inlineStr">
        <is>
          <t>Analog</t>
        </is>
      </c>
      <c r="F170" s="2" t="inlineStr">
        <is>
          <t>Outdoor</t>
        </is>
      </c>
      <c r="G170" s="2" t="inlineStr">
        <is>
          <t>IP66</t>
        </is>
      </c>
      <c r="H170" s="3" t="n">
        <v>168</v>
      </c>
      <c r="I170" s="4" t="n">
        <v>127.78</v>
      </c>
      <c r="J170" s="5" t="n">
        <v>0.2394</v>
      </c>
      <c r="K170" s="4" t="n">
        <v>40.22</v>
      </c>
      <c r="L170" s="2" t="inlineStr">
        <is>
          <t>Volume</t>
        </is>
      </c>
      <c r="M170" s="4" t="n">
        <v>127.78</v>
      </c>
      <c r="N170" s="3" t="n">
        <v>75.45999999999999</v>
      </c>
      <c r="O170" s="3" t="n">
        <v>6.33</v>
      </c>
      <c r="P170" s="3" t="n">
        <v>2.25</v>
      </c>
      <c r="Q170" s="4" t="n">
        <v>84.04000000000001</v>
      </c>
      <c r="R170" s="4">
        <f>M170-Q170</f>
        <v/>
      </c>
      <c r="S170" s="5">
        <f>IF(M170=0,"-",(R170/M170))</f>
        <v/>
      </c>
      <c r="T170" s="6" t="n">
        <v>51</v>
      </c>
      <c r="U170" s="4">
        <f>M170*T170</f>
        <v/>
      </c>
      <c r="V170" s="4">
        <f>Q170*T170</f>
        <v/>
      </c>
      <c r="W170" s="4">
        <f>U170-V170</f>
        <v/>
      </c>
      <c r="X170" s="2" t="inlineStr">
        <is>
          <t>Harbour Trust</t>
        </is>
      </c>
      <c r="Y170" s="2" t="inlineStr">
        <is>
          <t>End User</t>
        </is>
      </c>
      <c r="Z170" s="2" t="inlineStr">
        <is>
          <t>Mall Security Rollout</t>
        </is>
      </c>
      <c r="AA170" s="2" t="inlineStr">
        <is>
          <t>Healthcare</t>
        </is>
      </c>
      <c r="AB170" s="2" t="inlineStr">
        <is>
          <t>Indonesia</t>
        </is>
      </c>
      <c r="AC170" s="2" t="inlineStr">
        <is>
          <t>Direct</t>
        </is>
      </c>
      <c r="AD170" s="2" t="n">
        <v>2024</v>
      </c>
      <c r="AE170" s="2" t="inlineStr">
        <is>
          <t>Standalone</t>
        </is>
      </c>
      <c r="AF170" s="2" t="n">
        <v>24</v>
      </c>
      <c r="AG170" s="2" t="inlineStr">
        <is>
          <t>Gen 1</t>
        </is>
      </c>
      <c r="AH170" s="3" t="n">
        <v>153.83</v>
      </c>
      <c r="AI170" s="4" t="n">
        <v>-26.05</v>
      </c>
      <c r="AJ170" s="2" t="inlineStr">
        <is>
          <t>Rush order</t>
        </is>
      </c>
    </row>
    <row r="171">
      <c r="A171" s="7" t="inlineStr">
        <is>
          <t>SKU-008</t>
        </is>
      </c>
      <c r="B171" s="7" t="inlineStr">
        <is>
          <t>Thermal Cam</t>
        </is>
      </c>
      <c r="C171" s="7" t="inlineStr">
        <is>
          <t>Bullet</t>
        </is>
      </c>
      <c r="D171" s="7" t="inlineStr">
        <is>
          <t>2MP</t>
        </is>
      </c>
      <c r="E171" s="7" t="inlineStr">
        <is>
          <t>Thermal</t>
        </is>
      </c>
      <c r="F171" s="7" t="inlineStr">
        <is>
          <t>Outdoor</t>
        </is>
      </c>
      <c r="G171" s="7" t="inlineStr">
        <is>
          <t>IP67</t>
        </is>
      </c>
      <c r="H171" s="8" t="n">
        <v>2688</v>
      </c>
      <c r="I171" s="9" t="n">
        <v>2476.99</v>
      </c>
      <c r="J171" s="10" t="n">
        <v>0.0785</v>
      </c>
      <c r="K171" s="9" t="n">
        <v>211.01</v>
      </c>
      <c r="L171" s="7" t="inlineStr">
        <is>
          <t>Tender</t>
        </is>
      </c>
      <c r="M171" s="9" t="n">
        <v>2476.99</v>
      </c>
      <c r="N171" s="8" t="n">
        <v>1210.8</v>
      </c>
      <c r="O171" s="8" t="n">
        <v>63.31</v>
      </c>
      <c r="P171" s="8" t="n">
        <v>37.83</v>
      </c>
      <c r="Q171" s="9" t="n">
        <v>1311.94</v>
      </c>
      <c r="R171" s="9">
        <f>M171-Q171</f>
        <v/>
      </c>
      <c r="S171" s="10">
        <f>IF(M171=0,"-",(R171/M171))</f>
        <v/>
      </c>
      <c r="T171" s="11" t="n">
        <v>38</v>
      </c>
      <c r="U171" s="9">
        <f>M171*T171</f>
        <v/>
      </c>
      <c r="V171" s="9">
        <f>Q171*T171</f>
        <v/>
      </c>
      <c r="W171" s="9">
        <f>U171-V171</f>
        <v/>
      </c>
      <c r="X171" s="7" t="inlineStr">
        <is>
          <t>SkyNet Resellers</t>
        </is>
      </c>
      <c r="Y171" s="7" t="inlineStr">
        <is>
          <t>Reseller</t>
        </is>
      </c>
      <c r="Z171" s="7" t="inlineStr">
        <is>
          <t>Warehouse Monitoring</t>
        </is>
      </c>
      <c r="AA171" s="7" t="inlineStr">
        <is>
          <t>Healthcare</t>
        </is>
      </c>
      <c r="AB171" s="7" t="inlineStr">
        <is>
          <t>Philippines</t>
        </is>
      </c>
      <c r="AC171" s="7" t="inlineStr">
        <is>
          <t>Distribution</t>
        </is>
      </c>
      <c r="AD171" s="7" t="n">
        <v>2024</v>
      </c>
      <c r="AE171" s="7" t="inlineStr">
        <is>
          <t>Bundle</t>
        </is>
      </c>
      <c r="AF171" s="7" t="n">
        <v>12</v>
      </c>
      <c r="AG171" s="7" t="inlineStr">
        <is>
          <t>Gen 1</t>
        </is>
      </c>
      <c r="AH171" s="8" t="n">
        <v>2204.66</v>
      </c>
      <c r="AI171" s="9" t="n">
        <v>272.33</v>
      </c>
      <c r="AJ171" s="7" t="inlineStr">
        <is>
          <t>Promotional period</t>
        </is>
      </c>
    </row>
    <row r="172">
      <c r="A172" s="2" t="inlineStr">
        <is>
          <t>SKU-010</t>
        </is>
      </c>
      <c r="B172" s="2" t="inlineStr">
        <is>
          <t>Turret Cam 8MP 4K AI</t>
        </is>
      </c>
      <c r="C172" s="2" t="inlineStr">
        <is>
          <t>Turret</t>
        </is>
      </c>
      <c r="D172" s="2" t="inlineStr">
        <is>
          <t>8MP (4K)</t>
        </is>
      </c>
      <c r="E172" s="2" t="inlineStr">
        <is>
          <t>AI-enabled</t>
        </is>
      </c>
      <c r="F172" s="2" t="inlineStr">
        <is>
          <t>Outdoor</t>
        </is>
      </c>
      <c r="G172" s="2" t="inlineStr">
        <is>
          <t>IP66</t>
        </is>
      </c>
      <c r="H172" s="3" t="n">
        <v>873.6</v>
      </c>
      <c r="I172" s="4" t="n">
        <v>701.9400000000001</v>
      </c>
      <c r="J172" s="5" t="n">
        <v>0.1965</v>
      </c>
      <c r="K172" s="4" t="n">
        <v>171.66</v>
      </c>
      <c r="L172" s="2" t="inlineStr">
        <is>
          <t>Project Bid</t>
        </is>
      </c>
      <c r="M172" s="4" t="n">
        <v>701.9400000000001</v>
      </c>
      <c r="N172" s="3" t="n">
        <v>382.4</v>
      </c>
      <c r="O172" s="3" t="n">
        <v>39.46</v>
      </c>
      <c r="P172" s="3" t="n">
        <v>16.09</v>
      </c>
      <c r="Q172" s="4" t="n">
        <v>437.95</v>
      </c>
      <c r="R172" s="4">
        <f>M172-Q172</f>
        <v/>
      </c>
      <c r="S172" s="5">
        <f>IF(M172=0,"-",(R172/M172))</f>
        <v/>
      </c>
      <c r="T172" s="6" t="n">
        <v>29</v>
      </c>
      <c r="U172" s="4">
        <f>M172*T172</f>
        <v/>
      </c>
      <c r="V172" s="4">
        <f>Q172*T172</f>
        <v/>
      </c>
      <c r="W172" s="4">
        <f>U172-V172</f>
        <v/>
      </c>
      <c r="X172" s="2" t="inlineStr">
        <is>
          <t>Pacific Security Hub</t>
        </is>
      </c>
      <c r="Y172" s="2" t="inlineStr">
        <is>
          <t>Distributor</t>
        </is>
      </c>
      <c r="Z172" s="2" t="inlineStr">
        <is>
          <t>CBD Traffic Surveillance</t>
        </is>
      </c>
      <c r="AA172" s="2" t="inlineStr">
        <is>
          <t>Education</t>
        </is>
      </c>
      <c r="AB172" s="2" t="inlineStr">
        <is>
          <t>Singapore</t>
        </is>
      </c>
      <c r="AC172" s="2" t="inlineStr">
        <is>
          <t>Online</t>
        </is>
      </c>
      <c r="AD172" s="2" t="n">
        <v>2024</v>
      </c>
      <c r="AE172" s="2" t="inlineStr">
        <is>
          <t>Standalone</t>
        </is>
      </c>
      <c r="AF172" s="2" t="n">
        <v>36</v>
      </c>
      <c r="AG172" s="2" t="inlineStr">
        <is>
          <t>Gen 2</t>
        </is>
      </c>
      <c r="AH172" s="3" t="n">
        <v>802.64</v>
      </c>
      <c r="AI172" s="4" t="n">
        <v>-100.7</v>
      </c>
      <c r="AJ172" s="2" t="inlineStr">
        <is>
          <t>Standard deal</t>
        </is>
      </c>
    </row>
    <row r="173">
      <c r="A173" s="7" t="inlineStr">
        <is>
          <t>SKU-004</t>
        </is>
      </c>
      <c r="B173" s="7" t="inlineStr">
        <is>
          <t>Bullet Cam 4MP AI</t>
        </is>
      </c>
      <c r="C173" s="7" t="inlineStr">
        <is>
          <t>Bullet</t>
        </is>
      </c>
      <c r="D173" s="7" t="inlineStr">
        <is>
          <t>4MP</t>
        </is>
      </c>
      <c r="E173" s="7" t="inlineStr">
        <is>
          <t>AI-enabled</t>
        </is>
      </c>
      <c r="F173" s="7" t="inlineStr">
        <is>
          <t>Outdoor</t>
        </is>
      </c>
      <c r="G173" s="7" t="inlineStr">
        <is>
          <t>IP67</t>
        </is>
      </c>
      <c r="H173" s="8" t="n">
        <v>537.6</v>
      </c>
      <c r="I173" s="9" t="n">
        <v>434.22</v>
      </c>
      <c r="J173" s="10" t="n">
        <v>0.1923</v>
      </c>
      <c r="K173" s="9" t="n">
        <v>103.38</v>
      </c>
      <c r="L173" s="7" t="inlineStr">
        <is>
          <t>Project Bid</t>
        </is>
      </c>
      <c r="M173" s="9" t="n">
        <v>434.22</v>
      </c>
      <c r="N173" s="8" t="n">
        <v>228.38</v>
      </c>
      <c r="O173" s="8" t="n">
        <v>22.44</v>
      </c>
      <c r="P173" s="8" t="n">
        <v>14.4</v>
      </c>
      <c r="Q173" s="9" t="n">
        <v>265.22</v>
      </c>
      <c r="R173" s="9">
        <f>M173-Q173</f>
        <v/>
      </c>
      <c r="S173" s="10">
        <f>IF(M173=0,"-",(R173/M173))</f>
        <v/>
      </c>
      <c r="T173" s="11" t="n">
        <v>80</v>
      </c>
      <c r="U173" s="9">
        <f>M173*T173</f>
        <v/>
      </c>
      <c r="V173" s="9">
        <f>Q173*T173</f>
        <v/>
      </c>
      <c r="W173" s="9">
        <f>U173-V173</f>
        <v/>
      </c>
      <c r="X173" s="7" t="inlineStr">
        <is>
          <t>TechDist Asia</t>
        </is>
      </c>
      <c r="Y173" s="7" t="inlineStr">
        <is>
          <t>Distributor</t>
        </is>
      </c>
      <c r="Z173" s="7" t="inlineStr">
        <is>
          <t>Airport Terminal Upgrade</t>
        </is>
      </c>
      <c r="AA173" s="7" t="inlineStr">
        <is>
          <t>Healthcare</t>
        </is>
      </c>
      <c r="AB173" s="7" t="inlineStr">
        <is>
          <t>Indonesia</t>
        </is>
      </c>
      <c r="AC173" s="7" t="inlineStr">
        <is>
          <t>Distribution</t>
        </is>
      </c>
      <c r="AD173" s="7" t="n">
        <v>2024</v>
      </c>
      <c r="AE173" s="7" t="inlineStr">
        <is>
          <t>Standalone</t>
        </is>
      </c>
      <c r="AF173" s="7" t="n">
        <v>12</v>
      </c>
      <c r="AG173" s="7" t="inlineStr">
        <is>
          <t>Gen 1</t>
        </is>
      </c>
      <c r="AH173" s="8" t="n">
        <v>470.9</v>
      </c>
      <c r="AI173" s="9" t="n">
        <v>-36.68</v>
      </c>
      <c r="AJ173" s="7" t="inlineStr">
        <is>
          <t>Matched quote</t>
        </is>
      </c>
    </row>
    <row r="174">
      <c r="A174" s="2" t="inlineStr">
        <is>
          <t>SKU-010</t>
        </is>
      </c>
      <c r="B174" s="2" t="inlineStr">
        <is>
          <t>Turret Cam 8MP 4K AI</t>
        </is>
      </c>
      <c r="C174" s="2" t="inlineStr">
        <is>
          <t>Turret</t>
        </is>
      </c>
      <c r="D174" s="2" t="inlineStr">
        <is>
          <t>8MP (4K)</t>
        </is>
      </c>
      <c r="E174" s="2" t="inlineStr">
        <is>
          <t>AI-enabled</t>
        </is>
      </c>
      <c r="F174" s="2" t="inlineStr">
        <is>
          <t>Outdoor</t>
        </is>
      </c>
      <c r="G174" s="2" t="inlineStr">
        <is>
          <t>IP66</t>
        </is>
      </c>
      <c r="H174" s="3" t="n">
        <v>873.6</v>
      </c>
      <c r="I174" s="4" t="n">
        <v>815.0700000000001</v>
      </c>
      <c r="J174" s="5" t="n">
        <v>0.067</v>
      </c>
      <c r="K174" s="4" t="n">
        <v>58.53</v>
      </c>
      <c r="L174" s="2" t="inlineStr">
        <is>
          <t>Loyalty</t>
        </is>
      </c>
      <c r="M174" s="4" t="n">
        <v>815.0700000000001</v>
      </c>
      <c r="N174" s="3" t="n">
        <v>384.49</v>
      </c>
      <c r="O174" s="3" t="n">
        <v>45.57</v>
      </c>
      <c r="P174" s="3" t="n">
        <v>13.32</v>
      </c>
      <c r="Q174" s="4" t="n">
        <v>443.38</v>
      </c>
      <c r="R174" s="4">
        <f>M174-Q174</f>
        <v/>
      </c>
      <c r="S174" s="5">
        <f>IF(M174=0,"-",(R174/M174))</f>
        <v/>
      </c>
      <c r="T174" s="6" t="n">
        <v>75</v>
      </c>
      <c r="U174" s="4">
        <f>M174*T174</f>
        <v/>
      </c>
      <c r="V174" s="4">
        <f>Q174*T174</f>
        <v/>
      </c>
      <c r="W174" s="4">
        <f>U174-V174</f>
        <v/>
      </c>
      <c r="X174" s="2" t="inlineStr">
        <is>
          <t>GovTech Singapore</t>
        </is>
      </c>
      <c r="Y174" s="2" t="inlineStr">
        <is>
          <t>End User</t>
        </is>
      </c>
      <c r="Z174" s="2" t="inlineStr">
        <is>
          <t>Port Authority Monitoring</t>
        </is>
      </c>
      <c r="AA174" s="2" t="inlineStr">
        <is>
          <t>Industrial</t>
        </is>
      </c>
      <c r="AB174" s="2" t="inlineStr">
        <is>
          <t>Malaysia</t>
        </is>
      </c>
      <c r="AC174" s="2" t="inlineStr">
        <is>
          <t>Direct</t>
        </is>
      </c>
      <c r="AD174" s="2" t="n">
        <v>2024</v>
      </c>
      <c r="AE174" s="2" t="inlineStr">
        <is>
          <t>Standalone</t>
        </is>
      </c>
      <c r="AF174" s="2" t="n">
        <v>36</v>
      </c>
      <c r="AG174" s="2" t="inlineStr">
        <is>
          <t>Gen 2</t>
        </is>
      </c>
      <c r="AH174" s="3" t="n">
        <v>726.91</v>
      </c>
      <c r="AI174" s="4" t="n">
        <v>88.16</v>
      </c>
      <c r="AJ174" s="2" t="inlineStr">
        <is>
          <t>Rush order</t>
        </is>
      </c>
    </row>
    <row r="175">
      <c r="A175" s="7" t="inlineStr">
        <is>
          <t>SKU-002</t>
        </is>
      </c>
      <c r="B175" s="7" t="inlineStr">
        <is>
          <t>Dome Cam 4MP IR</t>
        </is>
      </c>
      <c r="C175" s="7" t="inlineStr">
        <is>
          <t>Dome</t>
        </is>
      </c>
      <c r="D175" s="7" t="inlineStr">
        <is>
          <t>4MP</t>
        </is>
      </c>
      <c r="E175" s="7" t="inlineStr">
        <is>
          <t>IP</t>
        </is>
      </c>
      <c r="F175" s="7" t="inlineStr">
        <is>
          <t>Outdoor</t>
        </is>
      </c>
      <c r="G175" s="7" t="inlineStr">
        <is>
          <t>IP66</t>
        </is>
      </c>
      <c r="H175" s="8" t="n">
        <v>358.4</v>
      </c>
      <c r="I175" s="9" t="n">
        <v>282.31</v>
      </c>
      <c r="J175" s="10" t="n">
        <v>0.2123</v>
      </c>
      <c r="K175" s="9" t="n">
        <v>76.09</v>
      </c>
      <c r="L175" s="7" t="inlineStr">
        <is>
          <t>Volume</t>
        </is>
      </c>
      <c r="M175" s="9" t="n">
        <v>282.31</v>
      </c>
      <c r="N175" s="8" t="n">
        <v>160.11</v>
      </c>
      <c r="O175" s="8" t="n">
        <v>16.54</v>
      </c>
      <c r="P175" s="8" t="n">
        <v>8.619999999999999</v>
      </c>
      <c r="Q175" s="9" t="n">
        <v>185.27</v>
      </c>
      <c r="R175" s="9">
        <f>M175-Q175</f>
        <v/>
      </c>
      <c r="S175" s="10">
        <f>IF(M175=0,"-",(R175/M175))</f>
        <v/>
      </c>
      <c r="T175" s="11" t="n">
        <v>64</v>
      </c>
      <c r="U175" s="9">
        <f>M175*T175</f>
        <v/>
      </c>
      <c r="V175" s="9">
        <f>Q175*T175</f>
        <v/>
      </c>
      <c r="W175" s="9">
        <f>U175-V175</f>
        <v/>
      </c>
      <c r="X175" s="7" t="inlineStr">
        <is>
          <t>GovTech Singapore</t>
        </is>
      </c>
      <c r="Y175" s="7" t="inlineStr">
        <is>
          <t>End User</t>
        </is>
      </c>
      <c r="Z175" s="7" t="inlineStr">
        <is>
          <t>Smart City Initiative</t>
        </is>
      </c>
      <c r="AA175" s="7" t="inlineStr">
        <is>
          <t>Government</t>
        </is>
      </c>
      <c r="AB175" s="7" t="inlineStr">
        <is>
          <t>Indonesia</t>
        </is>
      </c>
      <c r="AC175" s="7" t="inlineStr">
        <is>
          <t>Online</t>
        </is>
      </c>
      <c r="AD175" s="7" t="n">
        <v>2024</v>
      </c>
      <c r="AE175" s="7" t="inlineStr">
        <is>
          <t>Bundle</t>
        </is>
      </c>
      <c r="AF175" s="7" t="n">
        <v>12</v>
      </c>
      <c r="AG175" s="7" t="inlineStr">
        <is>
          <t>Gen 1</t>
        </is>
      </c>
      <c r="AH175" s="8" t="n">
        <v>292.83</v>
      </c>
      <c r="AI175" s="9" t="n">
        <v>-10.52</v>
      </c>
      <c r="AJ175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2026-04-07T06:18:31Z</dcterms:created>
  <dcterms:modified xmlns:dcterms="http://purl.org/dc/terms/" xmlns:xsi="http://www.w3.org/2001/XMLSchema-instance" xsi:type="dcterms:W3CDTF">2026-04-07T06:18:31Z</dcterms:modified>
</cp:coreProperties>
</file>